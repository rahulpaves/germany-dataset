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eck first" sheetId="2" state="visible" r:id="rId2"/>
    <sheet xmlns:r="http://schemas.openxmlformats.org/officeDocument/2006/relationships" name="Programmes" sheetId="3" state="visible" r:id="rId3"/>
    <sheet xmlns:r="http://schemas.openxmlformats.org/officeDocument/2006/relationships" name="Visa steps" sheetId="4" state="visible" r:id="rId4"/>
    <sheet xmlns:r="http://schemas.openxmlformats.org/officeDocument/2006/relationships" name="Institutions" sheetId="5" state="visible" r:id="rId5"/>
    <sheet xmlns:r="http://schemas.openxmlformats.org/officeDocument/2006/relationships" name="Coverage" sheetId="6" state="visible" r:id="rId6"/>
  </sheets>
  <definedNames>
    <definedName name="_xlnm._FilterDatabase" localSheetId="1" hidden="1">'Check first'!$A$3:$G$113</definedName>
    <definedName name="_xlnm._FilterDatabase" localSheetId="2" hidden="1">'Programmes'!$A$1:$AJ$46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2937"/>
      <sz val="20"/>
    </font>
    <font>
      <name val="Arial"/>
      <color rgb="0042506B"/>
      <sz val="11"/>
    </font>
    <font>
      <name val="Arial"/>
      <b val="1"/>
      <color rgb="001F2937"/>
      <sz val="10"/>
    </font>
    <font>
      <name val="Arial"/>
      <color rgb="001F2937"/>
      <sz val="10"/>
    </font>
    <font>
      <name val="Arial"/>
      <b val="1"/>
      <color rgb="00FFFFFF"/>
      <sz val="10"/>
    </font>
    <font>
      <name val="Arial"/>
      <color rgb="001F2937"/>
      <sz val="9.5"/>
    </font>
    <font>
      <name val="Arial"/>
      <b val="1"/>
      <color rgb="006B7891"/>
      <sz val="9"/>
    </font>
    <font>
      <name val="Arial"/>
      <b val="1"/>
      <color rgb="001F2937"/>
      <sz val="14"/>
    </font>
    <font>
      <name val="Arial"/>
      <b val="1"/>
      <color rgb="002B50E8"/>
      <sz val="12"/>
    </font>
    <font>
      <name val="Arial"/>
      <color rgb="001F2937"/>
      <sz val="9"/>
    </font>
    <font>
      <name val="Arial"/>
      <i val="1"/>
      <color rgb="006B7891"/>
      <sz val="9"/>
    </font>
    <font>
      <name val="Arial"/>
      <b val="1"/>
      <sz val="10"/>
    </font>
    <font>
      <name val="Arial"/>
      <b val="1"/>
      <color rgb="002B50E8"/>
      <sz val="10"/>
    </font>
    <font>
      <name val="Arial"/>
      <b val="1"/>
      <sz val="11"/>
    </font>
  </fonts>
  <fills count="10">
    <fill>
      <patternFill/>
    </fill>
    <fill>
      <patternFill patternType="gray125"/>
    </fill>
    <fill>
      <patternFill patternType="solid">
        <fgColor rgb="00F8DEE3"/>
      </patternFill>
    </fill>
    <fill>
      <patternFill patternType="solid">
        <fgColor rgb="00FDF0DC"/>
      </patternFill>
    </fill>
    <fill>
      <patternFill patternType="solid">
        <fgColor rgb="00EAF1FB"/>
      </patternFill>
    </fill>
    <fill>
      <patternFill patternType="solid">
        <fgColor rgb="00E4F1EC"/>
      </patternFill>
    </fill>
    <fill>
      <patternFill patternType="solid">
        <fgColor rgb="001F2937"/>
      </patternFill>
    </fill>
    <fill>
      <patternFill patternType="solid">
        <fgColor rgb="00F4F6FA"/>
      </patternFill>
    </fill>
    <fill>
      <patternFill patternType="solid">
        <fgColor rgb="00EEF1F7"/>
      </patternFill>
    </fill>
    <fill>
      <patternFill patternType="solid">
        <fgColor rgb="00FFFFCC"/>
      </patternFill>
    </fill>
  </fills>
  <borders count="2">
    <border>
      <left/>
      <right/>
      <top/>
      <bottom/>
      <diagonal/>
    </border>
    <border>
      <left style="thin">
        <color rgb="00DFE3EA"/>
      </left>
      <right style="thin">
        <color rgb="00DFE3EA"/>
      </right>
      <top style="thin">
        <color rgb="00DFE3EA"/>
      </top>
      <bottom style="thin">
        <color rgb="00DFE3EA"/>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4"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5" fillId="6" borderId="0" applyAlignment="1" pivotButton="0" quotePrefix="0" xfId="0">
      <alignment vertical="center" wrapText="1"/>
    </xf>
    <xf numFmtId="0" fontId="6" fillId="0" borderId="1" applyAlignment="1" pivotButton="0" quotePrefix="0" xfId="0">
      <alignment horizontal="center" vertical="center"/>
    </xf>
    <xf numFmtId="0" fontId="6" fillId="2" borderId="1" applyAlignment="1" pivotButton="0" quotePrefix="0" xfId="0">
      <alignment vertical="top"/>
    </xf>
    <xf numFmtId="0" fontId="6" fillId="2" borderId="1" applyAlignment="1" pivotButton="0" quotePrefix="0" xfId="0">
      <alignment vertical="top" wrapText="1"/>
    </xf>
    <xf numFmtId="0" fontId="6" fillId="3" borderId="1" applyAlignment="1" pivotButton="0" quotePrefix="0" xfId="0">
      <alignment vertical="top"/>
    </xf>
    <xf numFmtId="0" fontId="6"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10" fillId="0" borderId="1" applyAlignment="1" pivotButton="0" quotePrefix="0" xfId="0">
      <alignment vertical="top" wrapText="1"/>
    </xf>
    <xf numFmtId="0" fontId="10" fillId="4" borderId="1" applyAlignment="1" pivotButton="0" quotePrefix="0" xfId="0">
      <alignment vertical="top" wrapText="1"/>
    </xf>
    <xf numFmtId="0" fontId="10" fillId="7" borderId="1" applyAlignment="1" pivotButton="0" quotePrefix="0" xfId="0">
      <alignment vertical="top" wrapText="1"/>
    </xf>
    <xf numFmtId="0" fontId="3" fillId="0" borderId="0" pivotButton="0" quotePrefix="0" xfId="0"/>
    <xf numFmtId="0" fontId="11" fillId="8" borderId="1" pivotButton="0" quotePrefix="0" xfId="0"/>
    <xf numFmtId="0" fontId="6" fillId="0" borderId="1" applyAlignment="1" pivotButton="0" quotePrefix="0" xfId="0">
      <alignment vertical="top" wrapText="1"/>
    </xf>
    <xf numFmtId="0" fontId="6" fillId="9" borderId="1" applyAlignment="1" pivotButton="0" quotePrefix="0" xfId="0">
      <alignment vertical="top" wrapText="1"/>
    </xf>
    <xf numFmtId="0" fontId="12" fillId="0" borderId="0" pivotButton="0" quotePrefix="0" xfId="0"/>
    <xf numFmtId="0" fontId="13" fillId="0" borderId="0" pivotButton="0" quotePrefix="0" xfId="0"/>
    <xf numFmtId="0" fontId="14" fillId="0" borderId="0" pivotButton="0" quotePrefix="0" xfId="0"/>
    <xf numFmtId="0" fontId="6" fillId="0" borderId="1" pivotButton="0" quotePrefix="0" xfId="0"/>
    <xf numFmtId="0" fontId="6" fillId="5" borderId="1" pivotButton="0" quotePrefix="0" xfId="0"/>
    <xf numFmtId="0" fontId="6" fillId="3" borderId="1" pivotButton="0" quotePrefix="0" xfId="0"/>
    <xf numFmtId="0"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Pave</author>
  </authors>
  <commentList>
    <comment ref="A1" authorId="0" shapeId="0">
      <text>
        <t>The import matches on this column. Edit anything else, but leave these alone.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C18"/>
  <sheetViews>
    <sheetView showGridLines="0" workbookViewId="0">
      <selection activeCell="A1" sqref="A1"/>
    </sheetView>
  </sheetViews>
  <sheetFormatPr baseColWidth="8" defaultRowHeight="15"/>
  <cols>
    <col width="3" customWidth="1" min="1" max="1"/>
    <col width="30" customWidth="1" min="2" max="2"/>
    <col width="86" customWidth="1" min="3" max="3"/>
    <col width="14" customWidth="1" min="4" max="4"/>
  </cols>
  <sheetData>
    <row r="2">
      <c r="B2" s="1" t="inlineStr">
        <is>
          <t>Australia dataset, for checking</t>
        </is>
      </c>
    </row>
    <row r="3" ht="32" customHeight="1">
      <c r="B3" s="2" t="inlineStr">
        <is>
          <t>45 programmes across the 8 Group of Eight universities, plus a 23 step student visa chain. Everything was web-checked on 13 September 2026 and every record already carries a source link and a quote from the page.</t>
        </is>
      </c>
    </row>
    <row r="6">
      <c r="B6" s="3" t="inlineStr">
        <is>
          <t>What to do</t>
        </is>
      </c>
      <c r="C6" s="3" t="inlineStr">
        <is>
          <t>Work down the 'Check first' tab. It is sorted so the things that are visibly wrong on the site come before the things that are merely thin. Tick the Done column as you go and the counter at the top updates itself.</t>
        </is>
      </c>
    </row>
    <row r="8">
      <c r="B8" s="4" t="inlineStr">
        <is>
          <t>Red rows</t>
        </is>
      </c>
      <c r="C8" s="5" t="inlineStr">
        <is>
          <t>Wrong on the page right now. Eight records. Half an hour.</t>
        </is>
      </c>
    </row>
    <row r="9">
      <c r="B9" s="6" t="inlineStr">
        <is>
          <t>Amber rows</t>
        </is>
      </c>
      <c r="C9" s="7" t="inlineStr">
        <is>
          <t>Fields Germany fills on every record and Australia fills on none. They are answered once per university on the Institutions tab, not once per programme, so it is 8 cities and 8 homepages rather than 90 cells.</t>
        </is>
      </c>
    </row>
    <row r="10">
      <c r="B10" s="8" t="inlineStr">
        <is>
          <t>Blue rows</t>
        </is>
      </c>
      <c r="C10" s="9" t="inlineStr">
        <is>
          <t>Judgement calls. Each is defensible as it stands. Read the ask column and decide.</t>
        </is>
      </c>
    </row>
    <row r="12">
      <c r="B12" s="10" t="inlineStr">
        <is>
          <t>Already clean</t>
        </is>
      </c>
      <c r="C12" s="11" t="inlineStr">
        <is>
          <t>No stray line breaks, no double spaces, no smart quotes, no placeholder text, no duplicate programmes, no gaps in the record numbering, and every one of the 45 records has a quote of 67 characters or more. None of that needs re-checking.</t>
        </is>
      </c>
    </row>
    <row r="14">
      <c r="B14" s="3" t="inlineStr">
        <is>
          <t>On the links</t>
        </is>
      </c>
      <c r="C14" s="12" t="inlineStr">
        <is>
          <t>Automated checking cannot confirm these. Melbourne, Monash and UQ block scripted requests, which is why 30 of the 90 URLs answered 403 or timed out to a robot. That is the university's bot filter, not a dead link. Opening them in a browser is the only check that means anything, which is what the 'Link never marked as opening' rows are for.</t>
        </is>
      </c>
    </row>
    <row r="16">
      <c r="B16" s="3" t="inlineStr">
        <is>
          <t>On coverage</t>
        </is>
      </c>
      <c r="C16" s="12" t="inlineStr">
        <is>
          <t>Every record here is Group of Eight. That is a deliberate top end rather than a cross-section: no Australian Technology Network, no regional universities, and Adelaide University is included post-merger. Worth deciding whether the file claims to cover Australia or to cover the Go8.</t>
        </is>
      </c>
    </row>
    <row r="18">
      <c r="B18" s="3" t="inlineStr">
        <is>
          <t>Sending edits back</t>
        </is>
      </c>
      <c r="C18" s="12" t="inlineStr">
        <is>
          <t>Edit in place on the Programmes tab. Keep the record_id column untouched, since that is what the import matches on.</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3"/>
  <sheetViews>
    <sheetView showGridLines="0" workbookViewId="0">
      <pane ySplit="3" topLeftCell="A4" activePane="bottomLeft" state="frozen"/>
      <selection pane="bottomLeft" activeCell="A1" sqref="A1"/>
    </sheetView>
  </sheetViews>
  <sheetFormatPr baseColWidth="8" defaultRowHeight="15"/>
  <cols>
    <col width="7" customWidth="1" min="1" max="1"/>
    <col width="9" customWidth="1" min="2" max="2"/>
    <col width="10" customWidth="1" min="3" max="3"/>
    <col width="46" customWidth="1" min="4" max="4"/>
    <col width="20" customWidth="1" min="5" max="5"/>
    <col width="58" customWidth="1" min="6" max="6"/>
    <col width="52" customWidth="1" min="7" max="7"/>
  </cols>
  <sheetData>
    <row r="1">
      <c r="A1" s="13" t="inlineStr">
        <is>
          <t>Done</t>
        </is>
      </c>
      <c r="B1" s="13" t="inlineStr">
        <is>
          <t>Of</t>
        </is>
      </c>
      <c r="D1" s="13" t="inlineStr">
        <is>
          <t>Red open / amber open / blue open</t>
        </is>
      </c>
    </row>
    <row r="2">
      <c r="A2" s="14">
        <f>COUNTIF(A4:A113,"yes")</f>
        <v/>
      </c>
      <c r="B2" s="14">
        <f>COUNTA(C4:C113)</f>
        <v/>
      </c>
      <c r="D2" s="15">
        <f>COUNTIFS(B4:B113,1,A4:A113,"")&amp;" red, "&amp;COUNTIFS(B4:B113,2,A4:A113,"")&amp;" amber, "&amp;COUNTIFS(B4:B113,3,A4:A113,"")&amp;" blue"</f>
        <v/>
      </c>
    </row>
    <row r="3" ht="30" customHeight="1">
      <c r="A3" s="16" t="inlineStr">
        <is>
          <t>Done</t>
        </is>
      </c>
      <c r="B3" s="16" t="inlineStr">
        <is>
          <t>Priority</t>
        </is>
      </c>
      <c r="C3" s="16" t="inlineStr">
        <is>
          <t>Record</t>
        </is>
      </c>
      <c r="D3" s="16" t="inlineStr">
        <is>
          <t>What is wrong</t>
        </is>
      </c>
      <c r="E3" s="16" t="inlineStr">
        <is>
          <t>Field</t>
        </is>
      </c>
      <c r="F3" s="16" t="inlineStr">
        <is>
          <t>What it says now</t>
        </is>
      </c>
      <c r="G3" s="16" t="inlineStr">
        <is>
          <t>What to do</t>
        </is>
      </c>
    </row>
    <row r="4">
      <c r="A4" s="17" t="inlineStr"/>
      <c r="B4" s="18" t="n">
        <v>1</v>
      </c>
      <c r="C4" s="18" t="inlineStr">
        <is>
          <t>AU-040</t>
        </is>
      </c>
      <c r="D4" s="19" t="inlineStr">
        <is>
          <t>Degree name carries a comment</t>
        </is>
      </c>
      <c r="E4" s="18" t="inlineStr">
        <is>
          <t>degree</t>
        </is>
      </c>
      <c r="F4" s="19" t="inlineStr">
        <is>
          <t>Bachelor (Honours) — now titled Bachelor of Laws (Honours)</t>
        </is>
      </c>
      <c r="G4" s="19" t="inlineStr">
        <is>
          <t>Set it to 'Bachelor of Laws (Honours)' and move the rename into notes</t>
        </is>
      </c>
    </row>
    <row r="5">
      <c r="A5" s="17" t="inlineStr"/>
      <c r="B5" s="18" t="n">
        <v>1</v>
      </c>
      <c r="C5" s="18" t="inlineStr">
        <is>
          <t>AU-037</t>
        </is>
      </c>
      <c r="D5" s="19" t="inlineStr">
        <is>
          <t>Institution name carries an editorial note, and that note is what the reader sees</t>
        </is>
      </c>
      <c r="E5" s="18" t="inlineStr">
        <is>
          <t>institution</t>
        </is>
      </c>
      <c r="F5" s="19" t="inlineStr">
        <is>
          <t>Adelaide University (merged University of Adelaide + UniSA; sheet listed University of Adelaide)</t>
        </is>
      </c>
      <c r="G5" s="19" t="inlineStr">
        <is>
          <t>Set the name to 'Adelaide University'. The merger belongs in notes, where it already is</t>
        </is>
      </c>
    </row>
    <row r="6">
      <c r="A6" s="17" t="inlineStr"/>
      <c r="B6" s="18" t="n">
        <v>1</v>
      </c>
      <c r="C6" s="18" t="inlineStr">
        <is>
          <t>AU-038</t>
        </is>
      </c>
      <c r="D6" s="19" t="inlineStr">
        <is>
          <t>Institution name carries an editorial note, and that note is what the reader sees</t>
        </is>
      </c>
      <c r="E6" s="18" t="inlineStr">
        <is>
          <t>institution</t>
        </is>
      </c>
      <c r="F6" s="19" t="inlineStr">
        <is>
          <t>Adelaide University (merged University of Adelaide + UniSA; sheet listed University of Adelaide)</t>
        </is>
      </c>
      <c r="G6" s="19" t="inlineStr">
        <is>
          <t>Set the name to 'Adelaide University'. The merger belongs in notes, where it already is</t>
        </is>
      </c>
    </row>
    <row r="7">
      <c r="A7" s="17" t="inlineStr"/>
      <c r="B7" s="18" t="n">
        <v>1</v>
      </c>
      <c r="C7" s="18" t="inlineStr">
        <is>
          <t>AU-039</t>
        </is>
      </c>
      <c r="D7" s="19" t="inlineStr">
        <is>
          <t>Institution name carries an editorial note, and that note is what the reader sees</t>
        </is>
      </c>
      <c r="E7" s="18" t="inlineStr">
        <is>
          <t>institution</t>
        </is>
      </c>
      <c r="F7" s="19" t="inlineStr">
        <is>
          <t>Adelaide University (merged University of Adelaide + UniSA; sheet listed University of Adelaide)</t>
        </is>
      </c>
      <c r="G7" s="19" t="inlineStr">
        <is>
          <t>Set the name to 'Adelaide University'. The merger belongs in notes, where it already is</t>
        </is>
      </c>
    </row>
    <row r="8">
      <c r="A8" s="17" t="inlineStr"/>
      <c r="B8" s="18" t="n">
        <v>1</v>
      </c>
      <c r="C8" s="18" t="inlineStr">
        <is>
          <t>AU-040</t>
        </is>
      </c>
      <c r="D8" s="19" t="inlineStr">
        <is>
          <t>Institution name carries an editorial note, and that note is what the reader sees</t>
        </is>
      </c>
      <c r="E8" s="18" t="inlineStr">
        <is>
          <t>institution</t>
        </is>
      </c>
      <c r="F8" s="19" t="inlineStr">
        <is>
          <t>Adelaide University (merged University of Adelaide + UniSA; sheet listed University of Adelaide)</t>
        </is>
      </c>
      <c r="G8" s="19" t="inlineStr">
        <is>
          <t>Set the name to 'Adelaide University'. The merger belongs in notes, where it already is</t>
        </is>
      </c>
    </row>
    <row r="9">
      <c r="A9" s="17" t="inlineStr"/>
      <c r="B9" s="18" t="n">
        <v>1</v>
      </c>
      <c r="C9" s="18" t="inlineStr">
        <is>
          <t>AU-041</t>
        </is>
      </c>
      <c r="D9" s="19" t="inlineStr">
        <is>
          <t>Institution name carries an editorial note, and that note is what the reader sees</t>
        </is>
      </c>
      <c r="E9" s="18" t="inlineStr">
        <is>
          <t>institution</t>
        </is>
      </c>
      <c r="F9" s="19" t="inlineStr">
        <is>
          <t>Adelaide University (merged University of Adelaide + UniSA; sheet listed University of Adelaide)</t>
        </is>
      </c>
      <c r="G9" s="19" t="inlineStr">
        <is>
          <t>Set the name to 'Adelaide University'. The merger belongs in notes, where it already is</t>
        </is>
      </c>
    </row>
    <row r="10">
      <c r="A10" s="17" t="inlineStr"/>
      <c r="B10" s="18" t="n">
        <v>1</v>
      </c>
      <c r="C10" s="18" t="inlineStr">
        <is>
          <t>AU-031</t>
        </is>
      </c>
      <c r="D10" s="19" t="inlineStr">
        <is>
          <t>Source link has words after the URL, so it does not open</t>
        </is>
      </c>
      <c r="E10" s="18" t="inlineStr">
        <is>
          <t>source_url_you_used</t>
        </is>
      </c>
      <c r="F10" s="19" t="inlineStr">
        <is>
          <t>https://study.uq.edu.au/study-options/programs/bachelor-commerce-2336 (entry-requirements selector, S1 2027, India)</t>
        </is>
      </c>
      <c r="G10" s="19" t="inlineStr">
        <is>
          <t>Move everything after the URL into notes, leave the bare link</t>
        </is>
      </c>
    </row>
    <row r="11">
      <c r="A11" s="17" t="inlineStr"/>
      <c r="B11" s="18" t="n">
        <v>1</v>
      </c>
      <c r="C11" s="18" t="inlineStr">
        <is>
          <t>AU-032</t>
        </is>
      </c>
      <c r="D11" s="19" t="inlineStr">
        <is>
          <t>Source link has words after the URL, so it does not open</t>
        </is>
      </c>
      <c r="E11" s="18" t="inlineStr">
        <is>
          <t>source_url_you_used</t>
        </is>
      </c>
      <c r="F11" s="19" t="inlineStr">
        <is>
          <t>https://study.uq.edu.au/study-options/programs/bachelor-business-management-2171 (entry-requirements selector, S1 2027, India)</t>
        </is>
      </c>
      <c r="G11" s="19" t="inlineStr">
        <is>
          <t>Move everything after the URL into notes, leave the bare link</t>
        </is>
      </c>
    </row>
    <row r="12">
      <c r="A12" s="17" t="inlineStr"/>
      <c r="B12" s="18" t="n">
        <v>1</v>
      </c>
      <c r="C12" s="18" t="inlineStr">
        <is>
          <t>AU-033</t>
        </is>
      </c>
      <c r="D12" s="19" t="inlineStr">
        <is>
          <t>Source link has words after the URL, so it does not open</t>
        </is>
      </c>
      <c r="E12" s="18" t="inlineStr">
        <is>
          <t>source_url_you_used</t>
        </is>
      </c>
      <c r="F12" s="19" t="inlineStr">
        <is>
          <t>https://study.uq.edu.au/study-options/programs/bachelor-engineering-honours-2455 (entry-requirements selector, S1 2027, India)</t>
        </is>
      </c>
      <c r="G12" s="19" t="inlineStr">
        <is>
          <t>Move everything after the URL into notes, leave the bare link</t>
        </is>
      </c>
    </row>
    <row r="13">
      <c r="A13" s="17" t="inlineStr"/>
      <c r="B13" s="18" t="n">
        <v>1</v>
      </c>
      <c r="C13" s="18" t="inlineStr">
        <is>
          <t>AU-034</t>
        </is>
      </c>
      <c r="D13" s="19" t="inlineStr">
        <is>
          <t>Source link has words after the URL, so it does not open</t>
        </is>
      </c>
      <c r="E13" s="18" t="inlineStr">
        <is>
          <t>source_url_you_used</t>
        </is>
      </c>
      <c r="F13" s="19" t="inlineStr">
        <is>
          <t>https://study.uq.edu.au/study-options/programs/bachelor-science-2461 (entry-requirements selector, S1 2027, India)</t>
        </is>
      </c>
      <c r="G13" s="19" t="inlineStr">
        <is>
          <t>Move everything after the URL into notes, leave the bare link</t>
        </is>
      </c>
    </row>
    <row r="14">
      <c r="A14" s="17" t="inlineStr"/>
      <c r="B14" s="18" t="n">
        <v>1</v>
      </c>
      <c r="C14" s="18" t="inlineStr">
        <is>
          <t>AU-035</t>
        </is>
      </c>
      <c r="D14" s="19" t="inlineStr">
        <is>
          <t>Source link has words after the URL, so it does not open</t>
        </is>
      </c>
      <c r="E14" s="18" t="inlineStr">
        <is>
          <t>source_url_you_used</t>
        </is>
      </c>
      <c r="F14" s="19" t="inlineStr">
        <is>
          <t>https://study.uq.edu.au/study-options/programs/bachelor-laws-honours-2471 (entry-requirements selector, S1 2027, India)</t>
        </is>
      </c>
      <c r="G14" s="19" t="inlineStr">
        <is>
          <t>Move everything after the URL into notes, leave the bare link</t>
        </is>
      </c>
    </row>
    <row r="15">
      <c r="A15" s="17" t="inlineStr"/>
      <c r="B15" s="18" t="n">
        <v>1</v>
      </c>
      <c r="C15" s="18" t="inlineStr">
        <is>
          <t>AU-036</t>
        </is>
      </c>
      <c r="D15" s="19" t="inlineStr">
        <is>
          <t>Source link has words after the URL, so it does not open</t>
        </is>
      </c>
      <c r="E15" s="18" t="inlineStr">
        <is>
          <t>source_url_you_used</t>
        </is>
      </c>
      <c r="F15" s="19" t="inlineStr">
        <is>
          <t>https://study.uq.edu.au/study-options/programs/bachelor-advanced-finance-and-economics-honours-2140 (entry-requirements selector, S1 2027, India)</t>
        </is>
      </c>
      <c r="G15" s="19" t="inlineStr">
        <is>
          <t>Move everything after the URL into notes, leave the bare link</t>
        </is>
      </c>
    </row>
    <row r="16">
      <c r="A16" s="17" t="inlineStr"/>
      <c r="B16" s="20" t="n">
        <v>2</v>
      </c>
      <c r="C16" s="20" t="inlineStr">
        <is>
          <t>all</t>
        </is>
      </c>
      <c r="D16" s="21" t="inlineStr">
        <is>
          <t>City is the country on all 45 records. Germany names a real city on all 80</t>
        </is>
      </c>
      <c r="E16" s="20" t="inlineStr">
        <is>
          <t>city</t>
        </is>
      </c>
      <c r="F16" s="21" t="inlineStr">
        <is>
          <t>Every record says 'Australia'</t>
        </is>
      </c>
      <c r="G16" s="21" t="inlineStr">
        <is>
          <t>Fill the city once per university on the Institutions tab. 8 answers, not 45</t>
        </is>
      </c>
    </row>
    <row r="17">
      <c r="A17" s="17" t="inlineStr"/>
      <c r="B17" s="20" t="n">
        <v>2</v>
      </c>
      <c r="C17" s="20" t="inlineStr">
        <is>
          <t>all</t>
        </is>
      </c>
      <c r="D17" s="21" t="inlineStr">
        <is>
          <t>Every record is typed 'Go8 / Top Research'. Germany uses a descriptive type</t>
        </is>
      </c>
      <c r="E17" s="20" t="inlineStr">
        <is>
          <t>instType</t>
        </is>
      </c>
      <c r="F17" s="21" t="inlineStr">
        <is>
          <t>Go8 / Top Research x45</t>
        </is>
      </c>
      <c r="G17" s="21" t="inlineStr">
        <is>
          <t>Decide whether this field describes the group or the institution. Germany says e.g. 'Public Research University'</t>
        </is>
      </c>
    </row>
    <row r="18">
      <c r="A18" s="17" t="inlineStr"/>
      <c r="B18" s="20" t="n">
        <v>2</v>
      </c>
      <c r="C18" s="20" t="inlineStr">
        <is>
          <t>all</t>
        </is>
      </c>
      <c r="D18" s="21" t="inlineStr">
        <is>
          <t>Institution homepage empty on all 45 records. Germany fills it on all 80</t>
        </is>
      </c>
      <c r="E18" s="20" t="inlineStr">
        <is>
          <t>instUrl</t>
        </is>
      </c>
      <c r="F18" s="21" t="inlineStr">
        <is>
          <t>(empty everywhere)</t>
        </is>
      </c>
      <c r="G18" s="21" t="inlineStr">
        <is>
          <t>Fill the homepage once per university on the Institutions tab. 8 answers, not 45</t>
        </is>
      </c>
    </row>
    <row r="19">
      <c r="A19" s="17" t="inlineStr"/>
      <c r="B19" s="22" t="n">
        <v>3</v>
      </c>
      <c r="C19" s="22" t="inlineStr">
        <is>
          <t>AU-019</t>
        </is>
      </c>
      <c r="D19" s="23" t="inlineStr">
        <is>
          <t>Em dash in reader-facing text</t>
        </is>
      </c>
      <c r="E19" s="22" t="inlineStr">
        <is>
          <t>english</t>
        </is>
      </c>
      <c r="F19" s="23" t="inlineStr">
        <is>
          <t>IELTS Academic 6.5 overall, no band below 6.0 (Reading/Writing/Listeni</t>
        </is>
      </c>
      <c r="G19" s="23" t="inlineStr">
        <is>
          <t>Replace with a comma, semicolon or full stop. Never inside exact_quote</t>
        </is>
      </c>
    </row>
    <row r="20">
      <c r="A20" s="17" t="inlineStr"/>
      <c r="B20" s="22" t="n">
        <v>3</v>
      </c>
      <c r="C20" s="22" t="inlineStr">
        <is>
          <t>AU-020</t>
        </is>
      </c>
      <c r="D20" s="23" t="inlineStr">
        <is>
          <t>Em dash in reader-facing text</t>
        </is>
      </c>
      <c r="E20" s="22" t="inlineStr">
        <is>
          <t>english</t>
        </is>
      </c>
      <c r="F20" s="23" t="inlineStr">
        <is>
          <t>IELTS Academic 6.5 overall, no band below 6.0 (Reading/Writing/Listeni</t>
        </is>
      </c>
      <c r="G20" s="23" t="inlineStr">
        <is>
          <t>Replace with a comma, semicolon or full stop. Never inside exact_quote</t>
        </is>
      </c>
    </row>
    <row r="21">
      <c r="A21" s="17" t="inlineStr"/>
      <c r="B21" s="22" t="n">
        <v>3</v>
      </c>
      <c r="C21" s="22" t="inlineStr">
        <is>
          <t>AU-021</t>
        </is>
      </c>
      <c r="D21" s="23" t="inlineStr">
        <is>
          <t>Em dash in reader-facing text</t>
        </is>
      </c>
      <c r="E21" s="22" t="inlineStr">
        <is>
          <t>english</t>
        </is>
      </c>
      <c r="F21" s="23" t="inlineStr">
        <is>
          <t>IELTS Academic 6.5 overall, no band below 6.0 (Reading/Writing/Listeni</t>
        </is>
      </c>
      <c r="G21" s="23" t="inlineStr">
        <is>
          <t>Replace with a comma, semicolon or full stop. Never inside exact_quote</t>
        </is>
      </c>
    </row>
    <row r="22">
      <c r="A22" s="17" t="inlineStr"/>
      <c r="B22" s="22" t="n">
        <v>3</v>
      </c>
      <c r="C22" s="22" t="inlineStr">
        <is>
          <t>AU-022</t>
        </is>
      </c>
      <c r="D22" s="23" t="inlineStr">
        <is>
          <t>Em dash in reader-facing text</t>
        </is>
      </c>
      <c r="E22" s="22" t="inlineStr">
        <is>
          <t>english</t>
        </is>
      </c>
      <c r="F22" s="23" t="inlineStr">
        <is>
          <t>IELTS Academic 6.5 overall, no band below 6.0 (Reading/Writing/Listeni</t>
        </is>
      </c>
      <c r="G22" s="23" t="inlineStr">
        <is>
          <t>Replace with a comma, semicolon or full stop. Never inside exact_quote</t>
        </is>
      </c>
    </row>
    <row r="23">
      <c r="A23" s="17" t="inlineStr"/>
      <c r="B23" s="22" t="n">
        <v>3</v>
      </c>
      <c r="C23" s="22" t="inlineStr">
        <is>
          <t>AU-023</t>
        </is>
      </c>
      <c r="D23" s="23" t="inlineStr">
        <is>
          <t>Em dash in reader-facing text</t>
        </is>
      </c>
      <c r="E23" s="22" t="inlineStr">
        <is>
          <t>english</t>
        </is>
      </c>
      <c r="F23" s="23" t="inlineStr">
        <is>
          <t>IELTS Academic 6.5 overall, no band below 6.0 (Reading/Writing/Listeni</t>
        </is>
      </c>
      <c r="G23" s="23" t="inlineStr">
        <is>
          <t>Replace with a comma, semicolon or full stop. Never inside exact_quote</t>
        </is>
      </c>
    </row>
    <row r="24">
      <c r="A24" s="17" t="inlineStr"/>
      <c r="B24" s="22" t="n">
        <v>3</v>
      </c>
      <c r="C24" s="22" t="inlineStr">
        <is>
          <t>AU-024</t>
        </is>
      </c>
      <c r="D24" s="23" t="inlineStr">
        <is>
          <t>Em dash in reader-facing text</t>
        </is>
      </c>
      <c r="E24" s="22" t="inlineStr">
        <is>
          <t>english</t>
        </is>
      </c>
      <c r="F24" s="23" t="inlineStr">
        <is>
          <t>IELTS Academic 6.5 overall, no band below 6.0 (Reading/Writing/Listeni</t>
        </is>
      </c>
      <c r="G24" s="23" t="inlineStr">
        <is>
          <t>Replace with a comma, semicolon or full stop. Never inside exact_quote</t>
        </is>
      </c>
    </row>
    <row r="25">
      <c r="A25" s="17" t="inlineStr"/>
      <c r="B25" s="22" t="n">
        <v>3</v>
      </c>
      <c r="C25" s="22" t="inlineStr">
        <is>
          <t>AU-037</t>
        </is>
      </c>
      <c r="D25" s="23" t="inlineStr">
        <is>
          <t>Em dash in reader-facing text</t>
        </is>
      </c>
      <c r="E25" s="22" t="inlineStr">
        <is>
          <t>alevel, deadline, visa, notes, corrected_value_if_any</t>
        </is>
      </c>
      <c r="F25" s="23" t="inlineStr">
        <is>
          <t>Not published as letter grades; Adelaide University lists GCE A Level  | Intakes February (Semester 1) and July (Semester 2); no fixed universi | Australian Student visa (subclass 500) applied for after accepting the | MERGER: Adelaide University is the new institution formed by the merge | Sheet said IB 30-33 — published IB is 28. Sheet CBSE 80%+/ISC 73%+ — p</t>
        </is>
      </c>
      <c r="G25" s="23" t="inlineStr">
        <is>
          <t>Replace with a comma, semicolon or full stop. Never inside exact_quote</t>
        </is>
      </c>
    </row>
    <row r="26">
      <c r="A26" s="17" t="inlineStr"/>
      <c r="B26" s="22" t="n">
        <v>3</v>
      </c>
      <c r="C26" s="22" t="inlineStr">
        <is>
          <t>AU-038</t>
        </is>
      </c>
      <c r="D26" s="23" t="inlineStr">
        <is>
          <t>Em dash in reader-facing text</t>
        </is>
      </c>
      <c r="E26" s="22" t="inlineStr">
        <is>
          <t>alevel, deadline, notes, corrected_value_if_any</t>
        </is>
      </c>
      <c r="F26" s="23" t="inlineStr">
        <is>
          <t>Not published as letter grades on the new degree pages — sheet's 'ABB  | Intakes February and July; no fixed university-wide closing date publi | MERGER: applies to ADELAIDE UNIVERSITY (merger of University of Adelai | Sheet said IB 34-38 — published IB is 28. Sheet ATAR 90+ — published A</t>
        </is>
      </c>
      <c r="G26" s="23" t="inlineStr">
        <is>
          <t>Replace with a comma, semicolon or full stop. Never inside exact_quote</t>
        </is>
      </c>
    </row>
    <row r="27">
      <c r="A27" s="17" t="inlineStr"/>
      <c r="B27" s="22" t="n">
        <v>3</v>
      </c>
      <c r="C27" s="22" t="inlineStr">
        <is>
          <t>AU-039</t>
        </is>
      </c>
      <c r="D27" s="23" t="inlineStr">
        <is>
          <t>Em dash in reader-facing text</t>
        </is>
      </c>
      <c r="E27" s="22" t="inlineStr">
        <is>
          <t>deadline, corrected_value_if_any</t>
        </is>
      </c>
      <c r="F27" s="23" t="inlineStr">
        <is>
          <t>Intakes February and July; no fixed university-wide closing date publi | Sheet said IB 30-33 — published IB is 26. Sheet ATAR 80+ — published A</t>
        </is>
      </c>
      <c r="G27" s="23" t="inlineStr">
        <is>
          <t>Replace with a comma, semicolon or full stop. Never inside exact_quote</t>
        </is>
      </c>
    </row>
    <row r="28">
      <c r="A28" s="17" t="inlineStr"/>
      <c r="B28" s="22" t="n">
        <v>3</v>
      </c>
      <c r="C28" s="22" t="inlineStr">
        <is>
          <t>AU-040</t>
        </is>
      </c>
      <c r="D28" s="23" t="inlineStr">
        <is>
          <t>Em dash in reader-facing text</t>
        </is>
      </c>
      <c r="E28" s="22" t="inlineStr">
        <is>
          <t>degree, alevel, deadline, corrected_value_if_any</t>
        </is>
      </c>
      <c r="F28" s="23" t="inlineStr">
        <is>
          <t>Bachelor (Honours) — now titled Bachelor of Laws (Honours) | Not published as letter grades on the new degree page — sheet's 'AAA'  | Intakes February and July; no fixed university-wide closing date publi | Sheet said IB 38-42 — published IB is 30 (largest gap in this set). Sh</t>
        </is>
      </c>
      <c r="G28" s="23" t="inlineStr">
        <is>
          <t>Replace with a comma, semicolon or full stop. Never inside exact_quote</t>
        </is>
      </c>
    </row>
    <row r="29">
      <c r="A29" s="17" t="inlineStr"/>
      <c r="B29" s="22" t="n">
        <v>3</v>
      </c>
      <c r="C29" s="22" t="inlineStr">
        <is>
          <t>AU-041</t>
        </is>
      </c>
      <c r="D29" s="23" t="inlineStr">
        <is>
          <t>Em dash in reader-facing text</t>
        </is>
      </c>
      <c r="E29" s="22" t="inlineStr">
        <is>
          <t>alevel, deadline, corrected_value_if_any</t>
        </is>
      </c>
      <c r="F29" s="23" t="inlineStr">
        <is>
          <t>Not captured as letter grades on the new degree page — sheet's 'BCC' n | Intakes February and July; no fixed university-wide closing date publi | Sheet said IB 27-31 — published IB is 25. Sheet CBSE 77%+/ISC 70%+ — p</t>
        </is>
      </c>
      <c r="G29" s="23" t="inlineStr">
        <is>
          <t>Replace with a comma, semicolon or full stop. Never inside exact_quote</t>
        </is>
      </c>
    </row>
    <row r="30">
      <c r="A30" s="17" t="inlineStr"/>
      <c r="B30" s="22" t="n">
        <v>3</v>
      </c>
      <c r="C30" s="22" t="inlineStr">
        <is>
          <t>AU-042</t>
        </is>
      </c>
      <c r="D30" s="23" t="inlineStr">
        <is>
          <t>Em dash in reader-facing text</t>
        </is>
      </c>
      <c r="E30" s="22" t="inlineStr">
        <is>
          <t>notes, corrected_value_if_any, deadline_rounds</t>
        </is>
      </c>
      <c r="F30" s="23" t="inlineStr">
        <is>
          <t>Course page publishes no fee or per-qualification scores directly — fe | Sheet said ATAR 75+ / IB 28 — course minimum is ATAR 80, which convert | Checked 13 September 2026: 2026 windows have passed; Semester 1 2027 c</t>
        </is>
      </c>
      <c r="G30" s="23" t="inlineStr">
        <is>
          <t>Replace with a comma, semicolon or full stop. Never inside exact_quote</t>
        </is>
      </c>
    </row>
    <row r="31">
      <c r="A31" s="17" t="inlineStr"/>
      <c r="B31" s="22" t="n">
        <v>3</v>
      </c>
      <c r="C31" s="22" t="inlineStr">
        <is>
          <t>AU-043</t>
        </is>
      </c>
      <c r="D31" s="23" t="inlineStr">
        <is>
          <t>Em dash in reader-facing text</t>
        </is>
      </c>
      <c r="E31" s="22" t="inlineStr">
        <is>
          <t>corrected_value_if_any</t>
        </is>
      </c>
      <c r="F31" s="23" t="inlineStr">
        <is>
          <t>Sheet said IB 26 — ATAR 70 converts to IB 24 on UWA's own table. Sheet</t>
        </is>
      </c>
      <c r="G31" s="23" t="inlineStr">
        <is>
          <t>Replace with a comma, semicolon or full stop. Never inside exact_quote</t>
        </is>
      </c>
    </row>
    <row r="32">
      <c r="A32" s="17" t="inlineStr"/>
      <c r="B32" s="22" t="n">
        <v>3</v>
      </c>
      <c r="C32" s="22" t="inlineStr">
        <is>
          <t>AU-044</t>
        </is>
      </c>
      <c r="D32" s="23" t="inlineStr">
        <is>
          <t>Em dash in reader-facing text</t>
        </is>
      </c>
      <c r="E32" s="22" t="inlineStr">
        <is>
          <t>corrected_value_if_any</t>
        </is>
      </c>
      <c r="F32" s="23" t="inlineStr">
        <is>
          <t>Sheet said ATAR 87+ / IB 32-36 — standard entry is ATAR 80, converting</t>
        </is>
      </c>
      <c r="G32" s="23" t="inlineStr">
        <is>
          <t>Replace with a comma, semicolon or full stop. Never inside exact_quote</t>
        </is>
      </c>
    </row>
    <row r="33">
      <c r="A33" s="17" t="inlineStr"/>
      <c r="B33" s="22" t="n">
        <v>3</v>
      </c>
      <c r="C33" s="22" t="inlineStr">
        <is>
          <t>AU-045</t>
        </is>
      </c>
      <c r="D33" s="23" t="inlineStr">
        <is>
          <t>Em dash in reader-facing text</t>
        </is>
      </c>
      <c r="E33" s="22" t="inlineStr">
        <is>
          <t>corrected_value_if_any</t>
        </is>
      </c>
      <c r="F33" s="23" t="inlineStr">
        <is>
          <t>Sheet said IB 25 — ATAR 70 converts to IB 24 on UWA's own table (minor</t>
        </is>
      </c>
      <c r="G33" s="23" t="inlineStr">
        <is>
          <t>Replace with a comma, semicolon or full stop. Never inside exact_quote</t>
        </is>
      </c>
    </row>
    <row r="34">
      <c r="A34" s="17" t="inlineStr"/>
      <c r="B34" s="22" t="n">
        <v>3</v>
      </c>
      <c r="C34" s="22" t="inlineStr">
        <is>
          <t>AU-007</t>
        </is>
      </c>
      <c r="D34" s="23" t="inlineStr">
        <is>
          <t>Fee written as A$ where 27 other records write AUD</t>
        </is>
      </c>
      <c r="E34" s="22" t="inlineStr">
        <is>
          <t>feeNonEU</t>
        </is>
      </c>
      <c r="F34" s="23" t="inlineStr">
        <is>
          <t>A$56,300 international tuition fee for 2026 (first-year estimate, 48 credit points)</t>
        </is>
      </c>
      <c r="G34" s="23" t="inlineStr">
        <is>
          <t>Pick one and use it everywhere. AUD is the majority</t>
        </is>
      </c>
    </row>
    <row r="35">
      <c r="A35" s="17" t="inlineStr"/>
      <c r="B35" s="22" t="n">
        <v>3</v>
      </c>
      <c r="C35" s="22" t="inlineStr">
        <is>
          <t>AU-008</t>
        </is>
      </c>
      <c r="D35" s="23" t="inlineStr">
        <is>
          <t>Fee written as A$ where 27 other records write AUD</t>
        </is>
      </c>
      <c r="E35" s="22" t="inlineStr">
        <is>
          <t>feeNonEU</t>
        </is>
      </c>
      <c r="F35" s="23" t="inlineStr">
        <is>
          <t>A$60,600 international tuition fee for 2026 (first-year estimate)</t>
        </is>
      </c>
      <c r="G35" s="23" t="inlineStr">
        <is>
          <t>Pick one and use it everywhere. AUD is the majority</t>
        </is>
      </c>
    </row>
    <row r="36">
      <c r="A36" s="17" t="inlineStr"/>
      <c r="B36" s="22" t="n">
        <v>3</v>
      </c>
      <c r="C36" s="22" t="inlineStr">
        <is>
          <t>AU-009</t>
        </is>
      </c>
      <c r="D36" s="23" t="inlineStr">
        <is>
          <t>Fee written as A$ where 27 other records write AUD</t>
        </is>
      </c>
      <c r="E36" s="22" t="inlineStr">
        <is>
          <t>feeNonEU</t>
        </is>
      </c>
      <c r="F36" s="23" t="inlineStr">
        <is>
          <t>A$52,500 international tuition fee for 2026 (first-year estimate)</t>
        </is>
      </c>
      <c r="G36" s="23" t="inlineStr">
        <is>
          <t>Pick one and use it everywhere. AUD is the majority</t>
        </is>
      </c>
    </row>
    <row r="37">
      <c r="A37" s="17" t="inlineStr"/>
      <c r="B37" s="22" t="n">
        <v>3</v>
      </c>
      <c r="C37" s="22" t="inlineStr">
        <is>
          <t>AU-010</t>
        </is>
      </c>
      <c r="D37" s="23" t="inlineStr">
        <is>
          <t>Fee written as A$ where 27 other records write AUD</t>
        </is>
      </c>
      <c r="E37" s="22" t="inlineStr">
        <is>
          <t>feeNonEU</t>
        </is>
      </c>
      <c r="F37" s="23" t="inlineStr">
        <is>
          <t>A$60,600 international tuition fee for 2026 (first-year estimate)</t>
        </is>
      </c>
      <c r="G37" s="23" t="inlineStr">
        <is>
          <t>Pick one and use it everywhere. AUD is the majority</t>
        </is>
      </c>
    </row>
    <row r="38">
      <c r="A38" s="17" t="inlineStr"/>
      <c r="B38" s="22" t="n">
        <v>3</v>
      </c>
      <c r="C38" s="22" t="inlineStr">
        <is>
          <t>AU-011</t>
        </is>
      </c>
      <c r="D38" s="23" t="inlineStr">
        <is>
          <t>Fee written as A$ where 27 other records write AUD</t>
        </is>
      </c>
      <c r="E38" s="22" t="inlineStr">
        <is>
          <t>feeNonEU</t>
        </is>
      </c>
      <c r="F38" s="23" t="inlineStr">
        <is>
          <t>A$56,300 international tuition fee for 2026 (first-year estimate, BA/LLB)</t>
        </is>
      </c>
      <c r="G38" s="23" t="inlineStr">
        <is>
          <t>Pick one and use it everywhere. AUD is the majority</t>
        </is>
      </c>
    </row>
    <row r="39">
      <c r="A39" s="17" t="inlineStr"/>
      <c r="B39" s="22" t="n">
        <v>3</v>
      </c>
      <c r="C39" s="22" t="inlineStr">
        <is>
          <t>AU-012</t>
        </is>
      </c>
      <c r="D39" s="23" t="inlineStr">
        <is>
          <t>Fee written as A$ where 27 other records write AUD</t>
        </is>
      </c>
      <c r="E39" s="22" t="inlineStr">
        <is>
          <t>feeNonEU</t>
        </is>
      </c>
      <c r="F39" s="23" t="inlineStr">
        <is>
          <t>A$60,600 international tuition fee for 2026 (first-year estimate)</t>
        </is>
      </c>
      <c r="G39" s="23" t="inlineStr">
        <is>
          <t>Pick one and use it everywhere. AUD is the majority</t>
        </is>
      </c>
    </row>
    <row r="40">
      <c r="A40" s="17" t="inlineStr"/>
      <c r="B40" s="22" t="n">
        <v>3</v>
      </c>
      <c r="C40" s="22" t="inlineStr">
        <is>
          <t>AU-013</t>
        </is>
      </c>
      <c r="D40" s="23" t="inlineStr">
        <is>
          <t>Fee written as A$ where 27 other records write AUD</t>
        </is>
      </c>
      <c r="E40" s="22" t="inlineStr">
        <is>
          <t>feeNonEU</t>
        </is>
      </c>
      <c r="F40" s="23" t="inlineStr">
        <is>
          <t>A$56,500 indicative first year fee 2026 (indicative full fee to complete degree $180,500)</t>
        </is>
      </c>
      <c r="G40" s="23" t="inlineStr">
        <is>
          <t>Pick one and use it everywhere. AUD is the majority</t>
        </is>
      </c>
    </row>
    <row r="41">
      <c r="A41" s="17" t="inlineStr"/>
      <c r="B41" s="22" t="n">
        <v>3</v>
      </c>
      <c r="C41" s="22" t="inlineStr">
        <is>
          <t>AU-014</t>
        </is>
      </c>
      <c r="D41" s="23" t="inlineStr">
        <is>
          <t>Fee written as A$ where 27 other records write AUD</t>
        </is>
      </c>
      <c r="E41" s="22" t="inlineStr">
        <is>
          <t>feeNonEU</t>
        </is>
      </c>
      <c r="F41" s="23" t="inlineStr">
        <is>
          <t>A$61,500 indicative first year fee 2026</t>
        </is>
      </c>
      <c r="G41" s="23" t="inlineStr">
        <is>
          <t>Pick one and use it everywhere. AUD is the majority</t>
        </is>
      </c>
    </row>
    <row r="42">
      <c r="A42" s="17" t="inlineStr"/>
      <c r="B42" s="22" t="n">
        <v>3</v>
      </c>
      <c r="C42" s="22" t="inlineStr">
        <is>
          <t>AU-015</t>
        </is>
      </c>
      <c r="D42" s="23" t="inlineStr">
        <is>
          <t>Fee written as A$ where 27 other records write AUD</t>
        </is>
      </c>
      <c r="E42" s="22" t="inlineStr">
        <is>
          <t>feeNonEU</t>
        </is>
      </c>
      <c r="F42" s="23" t="inlineStr">
        <is>
          <t>A$61,000 indicative first year fee 2026</t>
        </is>
      </c>
      <c r="G42" s="23" t="inlineStr">
        <is>
          <t>Pick one and use it everywhere. AUD is the majority</t>
        </is>
      </c>
    </row>
    <row r="43">
      <c r="A43" s="17" t="inlineStr"/>
      <c r="B43" s="22" t="n">
        <v>3</v>
      </c>
      <c r="C43" s="22" t="inlineStr">
        <is>
          <t>AU-016</t>
        </is>
      </c>
      <c r="D43" s="23" t="inlineStr">
        <is>
          <t>Fee written as A$ where 27 other records write AUD</t>
        </is>
      </c>
      <c r="E43" s="22" t="inlineStr">
        <is>
          <t>feeNonEU</t>
        </is>
      </c>
      <c r="F43" s="23" t="inlineStr">
        <is>
          <t>A$61,000 indicative first year fee 2026</t>
        </is>
      </c>
      <c r="G43" s="23" t="inlineStr">
        <is>
          <t>Pick one and use it everywhere. AUD is the majority</t>
        </is>
      </c>
    </row>
    <row r="44">
      <c r="A44" s="17" t="inlineStr"/>
      <c r="B44" s="22" t="n">
        <v>3</v>
      </c>
      <c r="C44" s="22" t="inlineStr">
        <is>
          <t>AU-017</t>
        </is>
      </c>
      <c r="D44" s="23" t="inlineStr">
        <is>
          <t>Fee written as A$ where 27 other records write AUD</t>
        </is>
      </c>
      <c r="E44" s="22" t="inlineStr">
        <is>
          <t>feeNonEU</t>
        </is>
      </c>
      <c r="F44" s="23" t="inlineStr">
        <is>
          <t>A$52,500 indicative first year fee 2026 (BA/Law)</t>
        </is>
      </c>
      <c r="G44" s="23" t="inlineStr">
        <is>
          <t>Pick one and use it everywhere. AUD is the majority</t>
        </is>
      </c>
    </row>
    <row r="45">
      <c r="A45" s="17" t="inlineStr"/>
      <c r="B45" s="22" t="n">
        <v>3</v>
      </c>
      <c r="C45" s="22" t="inlineStr">
        <is>
          <t>AU-018</t>
        </is>
      </c>
      <c r="D45" s="23" t="inlineStr">
        <is>
          <t>Fee written as A$ where 27 other records write AUD</t>
        </is>
      </c>
      <c r="E45" s="22" t="inlineStr">
        <is>
          <t>feeNonEU</t>
        </is>
      </c>
      <c r="F45" s="23" t="inlineStr">
        <is>
          <t>A$49,500 indicative first year fee 2026</t>
        </is>
      </c>
      <c r="G45" s="23" t="inlineStr">
        <is>
          <t>Pick one and use it everywhere. AUD is the majority</t>
        </is>
      </c>
    </row>
    <row r="46">
      <c r="A46" s="17" t="inlineStr"/>
      <c r="B46" s="22" t="n">
        <v>3</v>
      </c>
      <c r="C46" s="22" t="inlineStr">
        <is>
          <t>AU-025</t>
        </is>
      </c>
      <c r="D46" s="23" t="inlineStr">
        <is>
          <t>Fee written as A$ where 27 other records write AUD</t>
        </is>
      </c>
      <c r="E46" s="22" t="inlineStr">
        <is>
          <t>feeNonEU</t>
        </is>
      </c>
      <c r="F46" s="23" t="inlineStr">
        <is>
          <t>A$59,140 per 48 credit points (standard year)</t>
        </is>
      </c>
      <c r="G46" s="23" t="inlineStr">
        <is>
          <t>Pick one and use it everywhere. AUD is the majority</t>
        </is>
      </c>
    </row>
    <row r="47">
      <c r="A47" s="17" t="inlineStr"/>
      <c r="B47" s="22" t="n">
        <v>3</v>
      </c>
      <c r="C47" s="22" t="inlineStr">
        <is>
          <t>AU-026</t>
        </is>
      </c>
      <c r="D47" s="23" t="inlineStr">
        <is>
          <t>Fee written as A$ where 27 other records write AUD</t>
        </is>
      </c>
      <c r="E47" s="22" t="inlineStr">
        <is>
          <t>feeNonEU</t>
        </is>
      </c>
      <c r="F47" s="23" t="inlineStr">
        <is>
          <t>A$60,040 per 48 credit points</t>
        </is>
      </c>
      <c r="G47" s="23" t="inlineStr">
        <is>
          <t>Pick one and use it everywhere. AUD is the majority</t>
        </is>
      </c>
    </row>
    <row r="48">
      <c r="A48" s="17" t="inlineStr"/>
      <c r="B48" s="22" t="n">
        <v>3</v>
      </c>
      <c r="C48" s="22" t="inlineStr">
        <is>
          <t>AU-027</t>
        </is>
      </c>
      <c r="D48" s="23" t="inlineStr">
        <is>
          <t>Fee written as A$ where 27 other records write AUD</t>
        </is>
      </c>
      <c r="E48" s="22" t="inlineStr">
        <is>
          <t>feeNonEU</t>
        </is>
      </c>
      <c r="F48" s="23" t="inlineStr">
        <is>
          <t>A$63,040 per 48 credit points</t>
        </is>
      </c>
      <c r="G48" s="23" t="inlineStr">
        <is>
          <t>Pick one and use it everywhere. AUD is the majority</t>
        </is>
      </c>
    </row>
    <row r="49">
      <c r="A49" s="17" t="inlineStr"/>
      <c r="B49" s="22" t="n">
        <v>3</v>
      </c>
      <c r="C49" s="22" t="inlineStr">
        <is>
          <t>AU-028</t>
        </is>
      </c>
      <c r="D49" s="23" t="inlineStr">
        <is>
          <t>Fee written as A$ where 27 other records write AUD</t>
        </is>
      </c>
      <c r="E49" s="22" t="inlineStr">
        <is>
          <t>feeNonEU</t>
        </is>
      </c>
      <c r="F49" s="23" t="inlineStr">
        <is>
          <t>A$58,940 per 48 credit points</t>
        </is>
      </c>
      <c r="G49" s="23" t="inlineStr">
        <is>
          <t>Pick one and use it everywhere. AUD is the majority</t>
        </is>
      </c>
    </row>
    <row r="50">
      <c r="A50" s="17" t="inlineStr"/>
      <c r="B50" s="22" t="n">
        <v>3</v>
      </c>
      <c r="C50" s="22" t="inlineStr">
        <is>
          <t>AU-029</t>
        </is>
      </c>
      <c r="D50" s="23" t="inlineStr">
        <is>
          <t>Fee written as A$ where 27 other records write AUD</t>
        </is>
      </c>
      <c r="E50" s="22" t="inlineStr">
        <is>
          <t>feeNonEU</t>
        </is>
      </c>
      <c r="F50" s="23" t="inlineStr">
        <is>
          <t>A$47,340 per 48 credit points</t>
        </is>
      </c>
      <c r="G50" s="23" t="inlineStr">
        <is>
          <t>Pick one and use it everywhere. AUD is the majority</t>
        </is>
      </c>
    </row>
    <row r="51">
      <c r="A51" s="17" t="inlineStr"/>
      <c r="B51" s="22" t="n">
        <v>3</v>
      </c>
      <c r="C51" s="22" t="inlineStr">
        <is>
          <t>AU-030</t>
        </is>
      </c>
      <c r="D51" s="23" t="inlineStr">
        <is>
          <t>Fee written as A$ where 27 other records write AUD</t>
        </is>
      </c>
      <c r="E51" s="22" t="inlineStr">
        <is>
          <t>feeNonEU</t>
        </is>
      </c>
      <c r="F51" s="23" t="inlineStr">
        <is>
          <t>A$58,540 per 48 credit points</t>
        </is>
      </c>
      <c r="G51" s="23" t="inlineStr">
        <is>
          <t>Pick one and use it everywhere. AUD is the majority</t>
        </is>
      </c>
    </row>
    <row r="52">
      <c r="A52" s="17" t="inlineStr"/>
      <c r="B52" s="22" t="n">
        <v>3</v>
      </c>
      <c r="C52" s="22" t="inlineStr">
        <is>
          <t>AU-020</t>
        </is>
      </c>
      <c r="D52" s="23" t="inlineStr">
        <is>
          <t>Link never marked as opening</t>
        </is>
      </c>
      <c r="E52" s="22" t="inlineStr">
        <is>
          <t>link_works</t>
        </is>
      </c>
      <c r="F52" s="23" t="inlineStr">
        <is>
          <t>(empty)</t>
        </is>
      </c>
      <c r="G52" s="23" t="inlineStr">
        <is>
          <t>Open the URL and put yes, or fix the link</t>
        </is>
      </c>
    </row>
    <row r="53">
      <c r="A53" s="17" t="inlineStr"/>
      <c r="B53" s="22" t="n">
        <v>3</v>
      </c>
      <c r="C53" s="22" t="inlineStr">
        <is>
          <t>AU-021</t>
        </is>
      </c>
      <c r="D53" s="23" t="inlineStr">
        <is>
          <t>Link never marked as opening</t>
        </is>
      </c>
      <c r="E53" s="22" t="inlineStr">
        <is>
          <t>link_works</t>
        </is>
      </c>
      <c r="F53" s="23" t="inlineStr">
        <is>
          <t>(empty)</t>
        </is>
      </c>
      <c r="G53" s="23" t="inlineStr">
        <is>
          <t>Open the URL and put yes, or fix the link</t>
        </is>
      </c>
    </row>
    <row r="54">
      <c r="A54" s="17" t="inlineStr"/>
      <c r="B54" s="22" t="n">
        <v>3</v>
      </c>
      <c r="C54" s="22" t="inlineStr">
        <is>
          <t>AU-022</t>
        </is>
      </c>
      <c r="D54" s="23" t="inlineStr">
        <is>
          <t>Link never marked as opening</t>
        </is>
      </c>
      <c r="E54" s="22" t="inlineStr">
        <is>
          <t>link_works</t>
        </is>
      </c>
      <c r="F54" s="23" t="inlineStr">
        <is>
          <t>(empty)</t>
        </is>
      </c>
      <c r="G54" s="23" t="inlineStr">
        <is>
          <t>Open the URL and put yes, or fix the link</t>
        </is>
      </c>
    </row>
    <row r="55">
      <c r="A55" s="17" t="inlineStr"/>
      <c r="B55" s="22" t="n">
        <v>3</v>
      </c>
      <c r="C55" s="22" t="inlineStr">
        <is>
          <t>AU-023</t>
        </is>
      </c>
      <c r="D55" s="23" t="inlineStr">
        <is>
          <t>Link never marked as opening</t>
        </is>
      </c>
      <c r="E55" s="22" t="inlineStr">
        <is>
          <t>link_works</t>
        </is>
      </c>
      <c r="F55" s="23" t="inlineStr">
        <is>
          <t>(empty)</t>
        </is>
      </c>
      <c r="G55" s="23" t="inlineStr">
        <is>
          <t>Open the URL and put yes, or fix the link</t>
        </is>
      </c>
    </row>
    <row r="56">
      <c r="A56" s="17" t="inlineStr"/>
      <c r="B56" s="22" t="n">
        <v>3</v>
      </c>
      <c r="C56" s="22" t="inlineStr">
        <is>
          <t>AU-027</t>
        </is>
      </c>
      <c r="D56" s="23" t="inlineStr">
        <is>
          <t>Link never marked as opening</t>
        </is>
      </c>
      <c r="E56" s="22" t="inlineStr">
        <is>
          <t>link_works</t>
        </is>
      </c>
      <c r="F56" s="23" t="inlineStr">
        <is>
          <t>(empty)</t>
        </is>
      </c>
      <c r="G56" s="23" t="inlineStr">
        <is>
          <t>Open the URL and put yes, or fix the link</t>
        </is>
      </c>
    </row>
    <row r="57">
      <c r="A57" s="17" t="inlineStr"/>
      <c r="B57" s="22" t="n">
        <v>3</v>
      </c>
      <c r="C57" s="22" t="inlineStr">
        <is>
          <t>AU-030</t>
        </is>
      </c>
      <c r="D57" s="23" t="inlineStr">
        <is>
          <t>Link never marked as opening</t>
        </is>
      </c>
      <c r="E57" s="22" t="inlineStr">
        <is>
          <t>link_works</t>
        </is>
      </c>
      <c r="F57" s="23" t="inlineStr">
        <is>
          <t>(empty)</t>
        </is>
      </c>
      <c r="G57" s="23" t="inlineStr">
        <is>
          <t>Open the URL and put yes, or fix the link</t>
        </is>
      </c>
    </row>
    <row r="58">
      <c r="A58" s="17" t="inlineStr"/>
      <c r="B58" s="22" t="n">
        <v>3</v>
      </c>
      <c r="C58" s="22" t="inlineStr">
        <is>
          <t>AU-032</t>
        </is>
      </c>
      <c r="D58" s="23" t="inlineStr">
        <is>
          <t>Link never marked as opening</t>
        </is>
      </c>
      <c r="E58" s="22" t="inlineStr">
        <is>
          <t>link_works</t>
        </is>
      </c>
      <c r="F58" s="23" t="inlineStr">
        <is>
          <t>(empty)</t>
        </is>
      </c>
      <c r="G58" s="23" t="inlineStr">
        <is>
          <t>Open the URL and put yes, or fix the link</t>
        </is>
      </c>
    </row>
    <row r="59">
      <c r="A59" s="17" t="inlineStr"/>
      <c r="B59" s="22" t="n">
        <v>3</v>
      </c>
      <c r="C59" s="22" t="inlineStr">
        <is>
          <t>AU-033</t>
        </is>
      </c>
      <c r="D59" s="23" t="inlineStr">
        <is>
          <t>Link never marked as opening</t>
        </is>
      </c>
      <c r="E59" s="22" t="inlineStr">
        <is>
          <t>link_works</t>
        </is>
      </c>
      <c r="F59" s="23" t="inlineStr">
        <is>
          <t>(empty)</t>
        </is>
      </c>
      <c r="G59" s="23" t="inlineStr">
        <is>
          <t>Open the URL and put yes, or fix the link</t>
        </is>
      </c>
    </row>
    <row r="60">
      <c r="A60" s="17" t="inlineStr"/>
      <c r="B60" s="22" t="n">
        <v>3</v>
      </c>
      <c r="C60" s="22" t="inlineStr">
        <is>
          <t>AU-034</t>
        </is>
      </c>
      <c r="D60" s="23" t="inlineStr">
        <is>
          <t>Link never marked as opening</t>
        </is>
      </c>
      <c r="E60" s="22" t="inlineStr">
        <is>
          <t>link_works</t>
        </is>
      </c>
      <c r="F60" s="23" t="inlineStr">
        <is>
          <t>(empty)</t>
        </is>
      </c>
      <c r="G60" s="23" t="inlineStr">
        <is>
          <t>Open the URL and put yes, or fix the link</t>
        </is>
      </c>
    </row>
    <row r="61">
      <c r="A61" s="17" t="inlineStr"/>
      <c r="B61" s="22" t="n">
        <v>3</v>
      </c>
      <c r="C61" s="22" t="inlineStr">
        <is>
          <t>AU-035</t>
        </is>
      </c>
      <c r="D61" s="23" t="inlineStr">
        <is>
          <t>Link never marked as opening</t>
        </is>
      </c>
      <c r="E61" s="22" t="inlineStr">
        <is>
          <t>link_works</t>
        </is>
      </c>
      <c r="F61" s="23" t="inlineStr">
        <is>
          <t>(empty)</t>
        </is>
      </c>
      <c r="G61" s="23" t="inlineStr">
        <is>
          <t>Open the URL and put yes, or fix the link</t>
        </is>
      </c>
    </row>
    <row r="62">
      <c r="A62" s="17" t="inlineStr"/>
      <c r="B62" s="22" t="n">
        <v>3</v>
      </c>
      <c r="C62" s="22" t="inlineStr">
        <is>
          <t>AU-036</t>
        </is>
      </c>
      <c r="D62" s="23" t="inlineStr">
        <is>
          <t>Link never marked as opening</t>
        </is>
      </c>
      <c r="E62" s="22" t="inlineStr">
        <is>
          <t>link_works</t>
        </is>
      </c>
      <c r="F62" s="23" t="inlineStr">
        <is>
          <t>(empty)</t>
        </is>
      </c>
      <c r="G62" s="23" t="inlineStr">
        <is>
          <t>Open the URL and put yes, or fix the link</t>
        </is>
      </c>
    </row>
    <row r="63">
      <c r="A63" s="17" t="inlineStr"/>
      <c r="B63" s="22" t="n">
        <v>3</v>
      </c>
      <c r="C63" s="22" t="inlineStr">
        <is>
          <t>AU-006</t>
        </is>
      </c>
      <c r="D63" s="23" t="inlineStr">
        <is>
          <t>No entry note. 28 records carry one</t>
        </is>
      </c>
      <c r="E63" s="22" t="inlineStr">
        <is>
          <t>entry</t>
        </is>
      </c>
      <c r="F63" s="23" t="inlineStr">
        <is>
          <t>(empty)</t>
        </is>
      </c>
      <c r="G63" s="23" t="inlineStr">
        <is>
          <t>Add the restriction if the page states one, e.g. which Indian boards are accepted</t>
        </is>
      </c>
    </row>
    <row r="64">
      <c r="A64" s="17" t="inlineStr"/>
      <c r="B64" s="22" t="n">
        <v>3</v>
      </c>
      <c r="C64" s="22" t="inlineStr">
        <is>
          <t>AU-019</t>
        </is>
      </c>
      <c r="D64" s="23" t="inlineStr">
        <is>
          <t>No entry note. 28 records carry one</t>
        </is>
      </c>
      <c r="E64" s="22" t="inlineStr">
        <is>
          <t>entry</t>
        </is>
      </c>
      <c r="F64" s="23" t="inlineStr">
        <is>
          <t>(empty)</t>
        </is>
      </c>
      <c r="G64" s="23" t="inlineStr">
        <is>
          <t>Add the restriction if the page states one, e.g. which Indian boards are accepted</t>
        </is>
      </c>
    </row>
    <row r="65">
      <c r="A65" s="17" t="inlineStr"/>
      <c r="B65" s="22" t="n">
        <v>3</v>
      </c>
      <c r="C65" s="22" t="inlineStr">
        <is>
          <t>AU-020</t>
        </is>
      </c>
      <c r="D65" s="23" t="inlineStr">
        <is>
          <t>No entry note. 28 records carry one</t>
        </is>
      </c>
      <c r="E65" s="22" t="inlineStr">
        <is>
          <t>entry</t>
        </is>
      </c>
      <c r="F65" s="23" t="inlineStr">
        <is>
          <t>(empty)</t>
        </is>
      </c>
      <c r="G65" s="23" t="inlineStr">
        <is>
          <t>Add the restriction if the page states one, e.g. which Indian boards are accepted</t>
        </is>
      </c>
    </row>
    <row r="66">
      <c r="A66" s="17" t="inlineStr"/>
      <c r="B66" s="22" t="n">
        <v>3</v>
      </c>
      <c r="C66" s="22" t="inlineStr">
        <is>
          <t>AU-021</t>
        </is>
      </c>
      <c r="D66" s="23" t="inlineStr">
        <is>
          <t>No entry note. 28 records carry one</t>
        </is>
      </c>
      <c r="E66" s="22" t="inlineStr">
        <is>
          <t>entry</t>
        </is>
      </c>
      <c r="F66" s="23" t="inlineStr">
        <is>
          <t>(empty)</t>
        </is>
      </c>
      <c r="G66" s="23" t="inlineStr">
        <is>
          <t>Add the restriction if the page states one, e.g. which Indian boards are accepted</t>
        </is>
      </c>
    </row>
    <row r="67">
      <c r="A67" s="17" t="inlineStr"/>
      <c r="B67" s="22" t="n">
        <v>3</v>
      </c>
      <c r="C67" s="22" t="inlineStr">
        <is>
          <t>AU-022</t>
        </is>
      </c>
      <c r="D67" s="23" t="inlineStr">
        <is>
          <t>No entry note. 28 records carry one</t>
        </is>
      </c>
      <c r="E67" s="22" t="inlineStr">
        <is>
          <t>entry</t>
        </is>
      </c>
      <c r="F67" s="23" t="inlineStr">
        <is>
          <t>(empty)</t>
        </is>
      </c>
      <c r="G67" s="23" t="inlineStr">
        <is>
          <t>Add the restriction if the page states one, e.g. which Indian boards are accepted</t>
        </is>
      </c>
    </row>
    <row r="68">
      <c r="A68" s="17" t="inlineStr"/>
      <c r="B68" s="22" t="n">
        <v>3</v>
      </c>
      <c r="C68" s="22" t="inlineStr">
        <is>
          <t>AU-023</t>
        </is>
      </c>
      <c r="D68" s="23" t="inlineStr">
        <is>
          <t>No entry note. 28 records carry one</t>
        </is>
      </c>
      <c r="E68" s="22" t="inlineStr">
        <is>
          <t>entry</t>
        </is>
      </c>
      <c r="F68" s="23" t="inlineStr">
        <is>
          <t>(empty)</t>
        </is>
      </c>
      <c r="G68" s="23" t="inlineStr">
        <is>
          <t>Add the restriction if the page states one, e.g. which Indian boards are accepted</t>
        </is>
      </c>
    </row>
    <row r="69">
      <c r="A69" s="17" t="inlineStr"/>
      <c r="B69" s="22" t="n">
        <v>3</v>
      </c>
      <c r="C69" s="22" t="inlineStr">
        <is>
          <t>AU-024</t>
        </is>
      </c>
      <c r="D69" s="23" t="inlineStr">
        <is>
          <t>No entry note. 28 records carry one</t>
        </is>
      </c>
      <c r="E69" s="22" t="inlineStr">
        <is>
          <t>entry</t>
        </is>
      </c>
      <c r="F69" s="23" t="inlineStr">
        <is>
          <t>(empty)</t>
        </is>
      </c>
      <c r="G69" s="23" t="inlineStr">
        <is>
          <t>Add the restriction if the page states one, e.g. which Indian boards are accepted</t>
        </is>
      </c>
    </row>
    <row r="70">
      <c r="A70" s="17" t="inlineStr"/>
      <c r="B70" s="22" t="n">
        <v>3</v>
      </c>
      <c r="C70" s="22" t="inlineStr">
        <is>
          <t>AU-025</t>
        </is>
      </c>
      <c r="D70" s="23" t="inlineStr">
        <is>
          <t>No entry note. 28 records carry one</t>
        </is>
      </c>
      <c r="E70" s="22" t="inlineStr">
        <is>
          <t>entry</t>
        </is>
      </c>
      <c r="F70" s="23" t="inlineStr">
        <is>
          <t>(empty)</t>
        </is>
      </c>
      <c r="G70" s="23" t="inlineStr">
        <is>
          <t>Add the restriction if the page states one, e.g. which Indian boards are accepted</t>
        </is>
      </c>
    </row>
    <row r="71">
      <c r="A71" s="17" t="inlineStr"/>
      <c r="B71" s="22" t="n">
        <v>3</v>
      </c>
      <c r="C71" s="22" t="inlineStr">
        <is>
          <t>AU-026</t>
        </is>
      </c>
      <c r="D71" s="23" t="inlineStr">
        <is>
          <t>No entry note. 28 records carry one</t>
        </is>
      </c>
      <c r="E71" s="22" t="inlineStr">
        <is>
          <t>entry</t>
        </is>
      </c>
      <c r="F71" s="23" t="inlineStr">
        <is>
          <t>(empty)</t>
        </is>
      </c>
      <c r="G71" s="23" t="inlineStr">
        <is>
          <t>Add the restriction if the page states one, e.g. which Indian boards are accepted</t>
        </is>
      </c>
    </row>
    <row r="72">
      <c r="A72" s="17" t="inlineStr"/>
      <c r="B72" s="22" t="n">
        <v>3</v>
      </c>
      <c r="C72" s="22" t="inlineStr">
        <is>
          <t>AU-029</t>
        </is>
      </c>
      <c r="D72" s="23" t="inlineStr">
        <is>
          <t>No entry note. 28 records carry one</t>
        </is>
      </c>
      <c r="E72" s="22" t="inlineStr">
        <is>
          <t>entry</t>
        </is>
      </c>
      <c r="F72" s="23" t="inlineStr">
        <is>
          <t>(empty)</t>
        </is>
      </c>
      <c r="G72" s="23" t="inlineStr">
        <is>
          <t>Add the restriction if the page states one, e.g. which Indian boards are accepted</t>
        </is>
      </c>
    </row>
    <row r="73">
      <c r="A73" s="17" t="inlineStr"/>
      <c r="B73" s="22" t="n">
        <v>3</v>
      </c>
      <c r="C73" s="22" t="inlineStr">
        <is>
          <t>AU-030</t>
        </is>
      </c>
      <c r="D73" s="23" t="inlineStr">
        <is>
          <t>No entry note. 28 records carry one</t>
        </is>
      </c>
      <c r="E73" s="22" t="inlineStr">
        <is>
          <t>entry</t>
        </is>
      </c>
      <c r="F73" s="23" t="inlineStr">
        <is>
          <t>(empty)</t>
        </is>
      </c>
      <c r="G73" s="23" t="inlineStr">
        <is>
          <t>Add the restriction if the page states one, e.g. which Indian boards are accepted</t>
        </is>
      </c>
    </row>
    <row r="74">
      <c r="A74" s="17" t="inlineStr"/>
      <c r="B74" s="22" t="n">
        <v>3</v>
      </c>
      <c r="C74" s="22" t="inlineStr">
        <is>
          <t>AU-031</t>
        </is>
      </c>
      <c r="D74" s="23" t="inlineStr">
        <is>
          <t>No entry note. 28 records carry one</t>
        </is>
      </c>
      <c r="E74" s="22" t="inlineStr">
        <is>
          <t>entry</t>
        </is>
      </c>
      <c r="F74" s="23" t="inlineStr">
        <is>
          <t>(empty)</t>
        </is>
      </c>
      <c r="G74" s="23" t="inlineStr">
        <is>
          <t>Add the restriction if the page states one, e.g. which Indian boards are accepted</t>
        </is>
      </c>
    </row>
    <row r="75">
      <c r="A75" s="17" t="inlineStr"/>
      <c r="B75" s="22" t="n">
        <v>3</v>
      </c>
      <c r="C75" s="22" t="inlineStr">
        <is>
          <t>AU-032</t>
        </is>
      </c>
      <c r="D75" s="23" t="inlineStr">
        <is>
          <t>No entry note. 28 records carry one</t>
        </is>
      </c>
      <c r="E75" s="22" t="inlineStr">
        <is>
          <t>entry</t>
        </is>
      </c>
      <c r="F75" s="23" t="inlineStr">
        <is>
          <t>(empty)</t>
        </is>
      </c>
      <c r="G75" s="23" t="inlineStr">
        <is>
          <t>Add the restriction if the page states one, e.g. which Indian boards are accepted</t>
        </is>
      </c>
    </row>
    <row r="76">
      <c r="A76" s="17" t="inlineStr"/>
      <c r="B76" s="22" t="n">
        <v>3</v>
      </c>
      <c r="C76" s="22" t="inlineStr">
        <is>
          <t>AU-033</t>
        </is>
      </c>
      <c r="D76" s="23" t="inlineStr">
        <is>
          <t>No entry note. 28 records carry one</t>
        </is>
      </c>
      <c r="E76" s="22" t="inlineStr">
        <is>
          <t>entry</t>
        </is>
      </c>
      <c r="F76" s="23" t="inlineStr">
        <is>
          <t>(empty)</t>
        </is>
      </c>
      <c r="G76" s="23" t="inlineStr">
        <is>
          <t>Add the restriction if the page states one, e.g. which Indian boards are accepted</t>
        </is>
      </c>
    </row>
    <row r="77">
      <c r="A77" s="17" t="inlineStr"/>
      <c r="B77" s="22" t="n">
        <v>3</v>
      </c>
      <c r="C77" s="22" t="inlineStr">
        <is>
          <t>AU-034</t>
        </is>
      </c>
      <c r="D77" s="23" t="inlineStr">
        <is>
          <t>No entry note. 28 records carry one</t>
        </is>
      </c>
      <c r="E77" s="22" t="inlineStr">
        <is>
          <t>entry</t>
        </is>
      </c>
      <c r="F77" s="23" t="inlineStr">
        <is>
          <t>(empty)</t>
        </is>
      </c>
      <c r="G77" s="23" t="inlineStr">
        <is>
          <t>Add the restriction if the page states one, e.g. which Indian boards are accepted</t>
        </is>
      </c>
    </row>
    <row r="78">
      <c r="A78" s="17" t="inlineStr"/>
      <c r="B78" s="22" t="n">
        <v>3</v>
      </c>
      <c r="C78" s="22" t="inlineStr">
        <is>
          <t>AU-035</t>
        </is>
      </c>
      <c r="D78" s="23" t="inlineStr">
        <is>
          <t>No entry note. 28 records carry one</t>
        </is>
      </c>
      <c r="E78" s="22" t="inlineStr">
        <is>
          <t>entry</t>
        </is>
      </c>
      <c r="F78" s="23" t="inlineStr">
        <is>
          <t>(empty)</t>
        </is>
      </c>
      <c r="G78" s="23" t="inlineStr">
        <is>
          <t>Add the restriction if the page states one, e.g. which Indian boards are accepted</t>
        </is>
      </c>
    </row>
    <row r="79">
      <c r="A79" s="17" t="inlineStr"/>
      <c r="B79" s="22" t="n">
        <v>3</v>
      </c>
      <c r="C79" s="22" t="inlineStr">
        <is>
          <t>AU-036</t>
        </is>
      </c>
      <c r="D79" s="23" t="inlineStr">
        <is>
          <t>No entry note. 28 records carry one</t>
        </is>
      </c>
      <c r="E79" s="22" t="inlineStr">
        <is>
          <t>entry</t>
        </is>
      </c>
      <c r="F79" s="23" t="inlineStr">
        <is>
          <t>(empty)</t>
        </is>
      </c>
      <c r="G79" s="23" t="inlineStr">
        <is>
          <t>Add the restriction if the page states one, e.g. which Indian boards are accepted</t>
        </is>
      </c>
    </row>
    <row r="80">
      <c r="A80" s="17" t="inlineStr"/>
      <c r="B80" s="22" t="n">
        <v>3</v>
      </c>
      <c r="C80" s="22" t="inlineStr">
        <is>
          <t>AU-006</t>
        </is>
      </c>
      <c r="D80" s="23" t="inlineStr">
        <is>
          <t>No sortable deadline. The page sorts and counts on this field</t>
        </is>
      </c>
      <c r="E80" s="22" t="inlineStr">
        <is>
          <t>deadline_iso</t>
        </is>
      </c>
      <c r="F80" s="23" t="inlineStr">
        <is>
          <t>Direct international applications close: mid-year intake 2026 (Semester 2/July) 31 May 2026; start-year intake 2027 (Semester 1/February-March) 30 November 2026; mid-year 2027 31 M</t>
        </is>
      </c>
      <c r="G80" s="23" t="inlineStr">
        <is>
          <t>If the source names a closing date, add it as YYYY-MM-DD. If it genuinely has none, leave blank</t>
        </is>
      </c>
    </row>
    <row r="81">
      <c r="A81" s="17" t="inlineStr"/>
      <c r="B81" s="22" t="n">
        <v>3</v>
      </c>
      <c r="C81" s="22" t="inlineStr">
        <is>
          <t>AU-013</t>
        </is>
      </c>
      <c r="D81" s="23" t="inlineStr">
        <is>
          <t>No sortable deadline. The page sorts and counts on this field</t>
        </is>
      </c>
      <c r="E81" s="22" t="inlineStr">
        <is>
          <t>deadline_iso</t>
        </is>
      </c>
      <c r="F81" s="23" t="inlineStr">
        <is>
          <t>Rolling offer rounds. Published Term 1 2027 undergraduate international round deadlines: 14 May 2026, 16 July 2026, 20 August 2026, 24 September 2026 (completed-application deadlin</t>
        </is>
      </c>
      <c r="G81" s="23" t="inlineStr">
        <is>
          <t>If the source names a closing date, add it as YYYY-MM-DD. If it genuinely has none, leave blank</t>
        </is>
      </c>
    </row>
    <row r="82">
      <c r="A82" s="17" t="inlineStr"/>
      <c r="B82" s="22" t="n">
        <v>3</v>
      </c>
      <c r="C82" s="22" t="inlineStr">
        <is>
          <t>AU-014</t>
        </is>
      </c>
      <c r="D82" s="23" t="inlineStr">
        <is>
          <t>No sortable deadline. The page sorts and counts on this field</t>
        </is>
      </c>
      <c r="E82" s="22" t="inlineStr">
        <is>
          <t>deadline_iso</t>
        </is>
      </c>
      <c r="F82" s="23" t="inlineStr">
        <is>
          <t>Rolling offer rounds. Published Term 1 2027 undergraduate international round deadlines: 14 May 2026, 16 July 2026, 20 August 2026, 24 September 2026 (completed-application deadlin</t>
        </is>
      </c>
      <c r="G82" s="23" t="inlineStr">
        <is>
          <t>If the source names a closing date, add it as YYYY-MM-DD. If it genuinely has none, leave blank</t>
        </is>
      </c>
    </row>
    <row r="83">
      <c r="A83" s="17" t="inlineStr"/>
      <c r="B83" s="22" t="n">
        <v>3</v>
      </c>
      <c r="C83" s="22" t="inlineStr">
        <is>
          <t>AU-015</t>
        </is>
      </c>
      <c r="D83" s="23" t="inlineStr">
        <is>
          <t>No sortable deadline. The page sorts and counts on this field</t>
        </is>
      </c>
      <c r="E83" s="22" t="inlineStr">
        <is>
          <t>deadline_iso</t>
        </is>
      </c>
      <c r="F83" s="23" t="inlineStr">
        <is>
          <t>Rolling offer rounds. Published Term 1 2027 undergraduate international round deadlines: 14 May 2026, 16 July 2026, 20 August 2026, 24 September 2026 (completed-application deadlin</t>
        </is>
      </c>
      <c r="G83" s="23" t="inlineStr">
        <is>
          <t>If the source names a closing date, add it as YYYY-MM-DD. If it genuinely has none, leave blank</t>
        </is>
      </c>
    </row>
    <row r="84">
      <c r="A84" s="17" t="inlineStr"/>
      <c r="B84" s="22" t="n">
        <v>3</v>
      </c>
      <c r="C84" s="22" t="inlineStr">
        <is>
          <t>AU-016</t>
        </is>
      </c>
      <c r="D84" s="23" t="inlineStr">
        <is>
          <t>No sortable deadline. The page sorts and counts on this field</t>
        </is>
      </c>
      <c r="E84" s="22" t="inlineStr">
        <is>
          <t>deadline_iso</t>
        </is>
      </c>
      <c r="F84" s="23" t="inlineStr">
        <is>
          <t>Rolling offer rounds. Published Term 1 2027 undergraduate international round deadlines: 14 May 2026, 16 July 2026, 20 August 2026, 24 September 2026 (completed-application deadlin</t>
        </is>
      </c>
      <c r="G84" s="23" t="inlineStr">
        <is>
          <t>If the source names a closing date, add it as YYYY-MM-DD. If it genuinely has none, leave blank</t>
        </is>
      </c>
    </row>
    <row r="85">
      <c r="A85" s="17" t="inlineStr"/>
      <c r="B85" s="22" t="n">
        <v>3</v>
      </c>
      <c r="C85" s="22" t="inlineStr">
        <is>
          <t>AU-017</t>
        </is>
      </c>
      <c r="D85" s="23" t="inlineStr">
        <is>
          <t>No sortable deadline. The page sorts and counts on this field</t>
        </is>
      </c>
      <c r="E85" s="22" t="inlineStr">
        <is>
          <t>deadline_iso</t>
        </is>
      </c>
      <c r="F85" s="23" t="inlineStr">
        <is>
          <t>Rolling offer rounds. Published Term 1 2027 undergraduate international round deadlines: 14 May 2026, 16 July 2026, 20 August 2026, 24 September 2026 (completed-application deadlin</t>
        </is>
      </c>
      <c r="G85" s="23" t="inlineStr">
        <is>
          <t>If the source names a closing date, add it as YYYY-MM-DD. If it genuinely has none, leave blank</t>
        </is>
      </c>
    </row>
    <row r="86">
      <c r="A86" s="17" t="inlineStr"/>
      <c r="B86" s="22" t="n">
        <v>3</v>
      </c>
      <c r="C86" s="22" t="inlineStr">
        <is>
          <t>AU-018</t>
        </is>
      </c>
      <c r="D86" s="23" t="inlineStr">
        <is>
          <t>No sortable deadline. The page sorts and counts on this field</t>
        </is>
      </c>
      <c r="E86" s="22" t="inlineStr">
        <is>
          <t>deadline_iso</t>
        </is>
      </c>
      <c r="F86" s="23" t="inlineStr">
        <is>
          <t>Rolling offer rounds. Published Term 1 2027 undergraduate international round deadlines: 14 May 2026, 16 July 2026, 20 August 2026, 24 September 2026 (completed-application deadlin</t>
        </is>
      </c>
      <c r="G86" s="23" t="inlineStr">
        <is>
          <t>If the source names a closing date, add it as YYYY-MM-DD. If it genuinely has none, leave blank</t>
        </is>
      </c>
    </row>
    <row r="87">
      <c r="A87" s="17" t="inlineStr"/>
      <c r="B87" s="22" t="n">
        <v>3</v>
      </c>
      <c r="C87" s="22" t="inlineStr">
        <is>
          <t>AU-025</t>
        </is>
      </c>
      <c r="D87" s="23" t="inlineStr">
        <is>
          <t>No sortable deadline. The page sorts and counts on this field</t>
        </is>
      </c>
      <c r="E87" s="22" t="inlineStr">
        <is>
          <t>deadline_iso</t>
        </is>
      </c>
      <c r="F87" s="23" t="inlineStr">
        <is>
          <t>No fixed international closing date published; direct applications assessed year-round for February (S1), July (S2) intakes</t>
        </is>
      </c>
      <c r="G87" s="23" t="inlineStr">
        <is>
          <t>If the source names a closing date, add it as YYYY-MM-DD. If it genuinely has none, leave blank</t>
        </is>
      </c>
    </row>
    <row r="88">
      <c r="A88" s="17" t="inlineStr"/>
      <c r="B88" s="22" t="n">
        <v>3</v>
      </c>
      <c r="C88" s="22" t="inlineStr">
        <is>
          <t>AU-026</t>
        </is>
      </c>
      <c r="D88" s="23" t="inlineStr">
        <is>
          <t>No sortable deadline. The page sorts and counts on this field</t>
        </is>
      </c>
      <c r="E88" s="22" t="inlineStr">
        <is>
          <t>deadline_iso</t>
        </is>
      </c>
      <c r="F88" s="23" t="inlineStr">
        <is>
          <t>No fixed international closing date published; direct applications assessed year-round for February (S1), July (S2) intakes</t>
        </is>
      </c>
      <c r="G88" s="23" t="inlineStr">
        <is>
          <t>If the source names a closing date, add it as YYYY-MM-DD. If it genuinely has none, leave blank</t>
        </is>
      </c>
    </row>
    <row r="89">
      <c r="A89" s="17" t="inlineStr"/>
      <c r="B89" s="22" t="n">
        <v>3</v>
      </c>
      <c r="C89" s="22" t="inlineStr">
        <is>
          <t>AU-027</t>
        </is>
      </c>
      <c r="D89" s="23" t="inlineStr">
        <is>
          <t>No sortable deadline. The page sorts and counts on this field</t>
        </is>
      </c>
      <c r="E89" s="22" t="inlineStr">
        <is>
          <t>deadline_iso</t>
        </is>
      </c>
      <c r="F89" s="23" t="inlineStr">
        <is>
          <t>No fixed international closing date published; direct applications assessed year-round for February (S1), July (S2) intakes</t>
        </is>
      </c>
      <c r="G89" s="23" t="inlineStr">
        <is>
          <t>If the source names a closing date, add it as YYYY-MM-DD. If it genuinely has none, leave blank</t>
        </is>
      </c>
    </row>
    <row r="90">
      <c r="A90" s="17" t="inlineStr"/>
      <c r="B90" s="22" t="n">
        <v>3</v>
      </c>
      <c r="C90" s="22" t="inlineStr">
        <is>
          <t>AU-028</t>
        </is>
      </c>
      <c r="D90" s="23" t="inlineStr">
        <is>
          <t>No sortable deadline. The page sorts and counts on this field</t>
        </is>
      </c>
      <c r="E90" s="22" t="inlineStr">
        <is>
          <t>deadline_iso</t>
        </is>
      </c>
      <c r="F90" s="23" t="inlineStr">
        <is>
          <t>No fixed international closing date published; direct applications assessed year-round for February (S1), July (S2) intakes</t>
        </is>
      </c>
      <c r="G90" s="23" t="inlineStr">
        <is>
          <t>If the source names a closing date, add it as YYYY-MM-DD. If it genuinely has none, leave blank</t>
        </is>
      </c>
    </row>
    <row r="91">
      <c r="A91" s="17" t="inlineStr"/>
      <c r="B91" s="22" t="n">
        <v>3</v>
      </c>
      <c r="C91" s="22" t="inlineStr">
        <is>
          <t>AU-029</t>
        </is>
      </c>
      <c r="D91" s="23" t="inlineStr">
        <is>
          <t>No sortable deadline. The page sorts and counts on this field</t>
        </is>
      </c>
      <c r="E91" s="22" t="inlineStr">
        <is>
          <t>deadline_iso</t>
        </is>
      </c>
      <c r="F91" s="23" t="inlineStr">
        <is>
          <t>No fixed international closing date published; direct applications assessed year-round for February (S1), July (S2) intakes</t>
        </is>
      </c>
      <c r="G91" s="23" t="inlineStr">
        <is>
          <t>If the source names a closing date, add it as YYYY-MM-DD. If it genuinely has none, leave blank</t>
        </is>
      </c>
    </row>
    <row r="92">
      <c r="A92" s="17" t="inlineStr"/>
      <c r="B92" s="22" t="n">
        <v>3</v>
      </c>
      <c r="C92" s="22" t="inlineStr">
        <is>
          <t>AU-030</t>
        </is>
      </c>
      <c r="D92" s="23" t="inlineStr">
        <is>
          <t>No sortable deadline. The page sorts and counts on this field</t>
        </is>
      </c>
      <c r="E92" s="22" t="inlineStr">
        <is>
          <t>deadline_iso</t>
        </is>
      </c>
      <c r="F92" s="23" t="inlineStr">
        <is>
          <t>No fixed international closing date published; direct applications assessed year-round for February (S1), July (S2) intakes</t>
        </is>
      </c>
      <c r="G92" s="23" t="inlineStr">
        <is>
          <t>If the source names a closing date, add it as YYYY-MM-DD. If it genuinely has none, leave blank</t>
        </is>
      </c>
    </row>
    <row r="93">
      <c r="A93" s="17" t="inlineStr"/>
      <c r="B93" s="22" t="n">
        <v>3</v>
      </c>
      <c r="C93" s="22" t="inlineStr">
        <is>
          <t>AU-037</t>
        </is>
      </c>
      <c r="D93" s="23" t="inlineStr">
        <is>
          <t>No sortable deadline. The page sorts and counts on this field</t>
        </is>
      </c>
      <c r="E93" s="22" t="inlineStr">
        <is>
          <t>deadline_iso</t>
        </is>
      </c>
      <c r="F93" s="23" t="inlineStr">
        <is>
          <t xml:space="preserve">Intakes February (Semester 1) and July (Semester 2); no fixed university-wide closing date published — 'Some degrees have different deadlines, so we recommend reviewing the degree </t>
        </is>
      </c>
      <c r="G93" s="23" t="inlineStr">
        <is>
          <t>If the source names a closing date, add it as YYYY-MM-DD. If it genuinely has none, leave blank</t>
        </is>
      </c>
    </row>
    <row r="94">
      <c r="A94" s="17" t="inlineStr"/>
      <c r="B94" s="22" t="n">
        <v>3</v>
      </c>
      <c r="C94" s="22" t="inlineStr">
        <is>
          <t>AU-038</t>
        </is>
      </c>
      <c r="D94" s="23" t="inlineStr">
        <is>
          <t>No sortable deadline. The page sorts and counts on this field</t>
        </is>
      </c>
      <c r="E94" s="22" t="inlineStr">
        <is>
          <t>deadline_iso</t>
        </is>
      </c>
      <c r="F94" s="23" t="inlineStr">
        <is>
          <t>Intakes February and July; no fixed university-wide closing date published — 'Some degrees have different deadlines, so we recommend reviewing the degree page to be sure.'</t>
        </is>
      </c>
      <c r="G94" s="23" t="inlineStr">
        <is>
          <t>If the source names a closing date, add it as YYYY-MM-DD. If it genuinely has none, leave blank</t>
        </is>
      </c>
    </row>
    <row r="95">
      <c r="A95" s="17" t="inlineStr"/>
      <c r="B95" s="22" t="n">
        <v>3</v>
      </c>
      <c r="C95" s="22" t="inlineStr">
        <is>
          <t>AU-039</t>
        </is>
      </c>
      <c r="D95" s="23" t="inlineStr">
        <is>
          <t>No sortable deadline. The page sorts and counts on this field</t>
        </is>
      </c>
      <c r="E95" s="22" t="inlineStr">
        <is>
          <t>deadline_iso</t>
        </is>
      </c>
      <c r="F95" s="23" t="inlineStr">
        <is>
          <t>Intakes February and July; no fixed university-wide closing date published — 'Some degrees have different deadlines, so we recommend reviewing the degree page to be sure.'</t>
        </is>
      </c>
      <c r="G95" s="23" t="inlineStr">
        <is>
          <t>If the source names a closing date, add it as YYYY-MM-DD. If it genuinely has none, leave blank</t>
        </is>
      </c>
    </row>
    <row r="96">
      <c r="A96" s="17" t="inlineStr"/>
      <c r="B96" s="22" t="n">
        <v>3</v>
      </c>
      <c r="C96" s="22" t="inlineStr">
        <is>
          <t>AU-040</t>
        </is>
      </c>
      <c r="D96" s="23" t="inlineStr">
        <is>
          <t>No sortable deadline. The page sorts and counts on this field</t>
        </is>
      </c>
      <c r="E96" s="22" t="inlineStr">
        <is>
          <t>deadline_iso</t>
        </is>
      </c>
      <c r="F96" s="23" t="inlineStr">
        <is>
          <t>Intakes February and July; no fixed university-wide closing date published — 'Some degrees have different deadlines, so we recommend reviewing the degree page to be sure.'</t>
        </is>
      </c>
      <c r="G96" s="23" t="inlineStr">
        <is>
          <t>If the source names a closing date, add it as YYYY-MM-DD. If it genuinely has none, leave blank</t>
        </is>
      </c>
    </row>
    <row r="97">
      <c r="A97" s="17" t="inlineStr"/>
      <c r="B97" s="22" t="n">
        <v>3</v>
      </c>
      <c r="C97" s="22" t="inlineStr">
        <is>
          <t>AU-041</t>
        </is>
      </c>
      <c r="D97" s="23" t="inlineStr">
        <is>
          <t>No sortable deadline. The page sorts and counts on this field</t>
        </is>
      </c>
      <c r="E97" s="22" t="inlineStr">
        <is>
          <t>deadline_iso</t>
        </is>
      </c>
      <c r="F97" s="23" t="inlineStr">
        <is>
          <t>Intakes February and July; no fixed university-wide closing date published — 'Some degrees have different deadlines, so we recommend reviewing the degree page to be sure.'</t>
        </is>
      </c>
      <c r="G97" s="23" t="inlineStr">
        <is>
          <t>If the source names a closing date, add it as YYYY-MM-DD. If it genuinely has none, leave blank</t>
        </is>
      </c>
    </row>
    <row r="98">
      <c r="A98" s="17" t="inlineStr"/>
      <c r="B98" s="22" t="n">
        <v>3</v>
      </c>
      <c r="C98" s="22" t="inlineStr">
        <is>
          <t>AU-042</t>
        </is>
      </c>
      <c r="D98" s="23" t="inlineStr">
        <is>
          <t>No sortable deadline. The page sorts and counts on this field</t>
        </is>
      </c>
      <c r="E98" s="22" t="inlineStr">
        <is>
          <t>deadline_iso</t>
        </is>
      </c>
      <c r="F98" s="23" t="inlineStr">
        <is>
          <t xml:space="preserve">Intakes February and July. Published 2026 closing dates: Semester 1 by 19 January 2026 and Semester 2 by 8 June 2026 for 'most other countries' (some countries: 29 December 2025 / </t>
        </is>
      </c>
      <c r="G98" s="23" t="inlineStr">
        <is>
          <t>If the source names a closing date, add it as YYYY-MM-DD. If it genuinely has none, leave blank</t>
        </is>
      </c>
    </row>
    <row r="99">
      <c r="A99" s="17" t="inlineStr"/>
      <c r="B99" s="22" t="n">
        <v>3</v>
      </c>
      <c r="C99" s="22" t="inlineStr">
        <is>
          <t>AU-043</t>
        </is>
      </c>
      <c r="D99" s="23" t="inlineStr">
        <is>
          <t>No sortable deadline. The page sorts and counts on this field</t>
        </is>
      </c>
      <c r="E99" s="22" t="inlineStr">
        <is>
          <t>deadline_iso</t>
        </is>
      </c>
      <c r="F99" s="23" t="inlineStr">
        <is>
          <t>Intakes February and July. Published 2026 closing dates: Semester 1 by 19 January 2026 and Semester 2 by 8 June 2026 for most countries (some countries earlier; onshore 20 February</t>
        </is>
      </c>
      <c r="G99" s="23" t="inlineStr">
        <is>
          <t>If the source names a closing date, add it as YYYY-MM-DD. If it genuinely has none, leave blank</t>
        </is>
      </c>
    </row>
    <row r="100">
      <c r="A100" s="17" t="inlineStr"/>
      <c r="B100" s="22" t="n">
        <v>3</v>
      </c>
      <c r="C100" s="22" t="inlineStr">
        <is>
          <t>AU-044</t>
        </is>
      </c>
      <c r="D100" s="23" t="inlineStr">
        <is>
          <t>No sortable deadline. The page sorts and counts on this field</t>
        </is>
      </c>
      <c r="E100" s="22" t="inlineStr">
        <is>
          <t>deadline_iso</t>
        </is>
      </c>
      <c r="F100" s="23" t="inlineStr">
        <is>
          <t>Intakes February and July. Published 2026 closing dates: Semester 1 by 19 January 2026 and Semester 2 by 8 June 2026 for most countries (some countries earlier; onshore 20 February</t>
        </is>
      </c>
      <c r="G100" s="23" t="inlineStr">
        <is>
          <t>If the source names a closing date, add it as YYYY-MM-DD. If it genuinely has none, leave blank</t>
        </is>
      </c>
    </row>
    <row r="101">
      <c r="A101" s="17" t="inlineStr"/>
      <c r="B101" s="22" t="n">
        <v>3</v>
      </c>
      <c r="C101" s="22" t="inlineStr">
        <is>
          <t>AU-045</t>
        </is>
      </c>
      <c r="D101" s="23" t="inlineStr">
        <is>
          <t>No sortable deadline. The page sorts and counts on this field</t>
        </is>
      </c>
      <c r="E101" s="22" t="inlineStr">
        <is>
          <t>deadline_iso</t>
        </is>
      </c>
      <c r="F101" s="23" t="inlineStr">
        <is>
          <t>Intakes February and July. Published 2026 closing dates: Semester 1 by 19 January 2026 and Semester 2 by 8 June 2026 for most countries (some countries earlier; onshore 20 February</t>
        </is>
      </c>
      <c r="G101" s="23" t="inlineStr">
        <is>
          <t>If the source names a closing date, add it as YYYY-MM-DD. If it genuinely has none, leave blank</t>
        </is>
      </c>
    </row>
    <row r="102">
      <c r="A102" s="17" t="inlineStr"/>
      <c r="B102" s="22" t="n">
        <v>3</v>
      </c>
      <c r="C102" s="22" t="inlineStr">
        <is>
          <t>AU-007</t>
        </is>
      </c>
      <c r="D102" s="23" t="inlineStr">
        <is>
          <t>Sortable deadline names a year the source sentence does not</t>
        </is>
      </c>
      <c r="E102" s="22" t="inlineStr">
        <is>
          <t>deadline_iso</t>
        </is>
      </c>
      <c r="F102" s="23" t="inlineStr">
        <is>
          <t>2026-12-01  &lt;-  International direct applications close 1 December of the year prior to commencement for Semester 1 (February) and 29 May of the commencing year for S</t>
        </is>
      </c>
      <c r="G102" s="23" t="inlineStr">
        <is>
          <t>Confirm the year. The source says 'the year prior to commencement' without naming one</t>
        </is>
      </c>
    </row>
    <row r="103">
      <c r="A103" s="17" t="inlineStr"/>
      <c r="B103" s="22" t="n">
        <v>3</v>
      </c>
      <c r="C103" s="22" t="inlineStr">
        <is>
          <t>AU-008</t>
        </is>
      </c>
      <c r="D103" s="23" t="inlineStr">
        <is>
          <t>Sortable deadline names a year the source sentence does not</t>
        </is>
      </c>
      <c r="E103" s="22" t="inlineStr">
        <is>
          <t>deadline_iso</t>
        </is>
      </c>
      <c r="F103" s="23" t="inlineStr">
        <is>
          <t>2026-12-01  &lt;-  International direct applications close 1 December of the year prior to commencement for Semester 1 (February) and 29 May of the commencing year for S</t>
        </is>
      </c>
      <c r="G103" s="23" t="inlineStr">
        <is>
          <t>Confirm the year. The source says 'the year prior to commencement' without naming one</t>
        </is>
      </c>
    </row>
    <row r="104">
      <c r="A104" s="17" t="inlineStr"/>
      <c r="B104" s="22" t="n">
        <v>3</v>
      </c>
      <c r="C104" s="22" t="inlineStr">
        <is>
          <t>AU-009</t>
        </is>
      </c>
      <c r="D104" s="23" t="inlineStr">
        <is>
          <t>Sortable deadline names a year the source sentence does not</t>
        </is>
      </c>
      <c r="E104" s="22" t="inlineStr">
        <is>
          <t>deadline_iso</t>
        </is>
      </c>
      <c r="F104" s="23" t="inlineStr">
        <is>
          <t>2026-12-01  &lt;-  International direct applications close 1 December of the year prior to commencement for Semester 1 (February) and 29 May of the commencing year for S</t>
        </is>
      </c>
      <c r="G104" s="23" t="inlineStr">
        <is>
          <t>Confirm the year. The source says 'the year prior to commencement' without naming one</t>
        </is>
      </c>
    </row>
    <row r="105">
      <c r="A105" s="17" t="inlineStr"/>
      <c r="B105" s="22" t="n">
        <v>3</v>
      </c>
      <c r="C105" s="22" t="inlineStr">
        <is>
          <t>AU-010</t>
        </is>
      </c>
      <c r="D105" s="23" t="inlineStr">
        <is>
          <t>Sortable deadline names a year the source sentence does not</t>
        </is>
      </c>
      <c r="E105" s="22" t="inlineStr">
        <is>
          <t>deadline_iso</t>
        </is>
      </c>
      <c r="F105" s="23" t="inlineStr">
        <is>
          <t>2026-12-01  &lt;-  Semester 1 (February) intake only for this course; international direct applications close 1 December of the prior year</t>
        </is>
      </c>
      <c r="G105" s="23" t="inlineStr">
        <is>
          <t>Confirm the year. The source says 'the year prior to commencement' without naming one</t>
        </is>
      </c>
    </row>
    <row r="106">
      <c r="A106" s="17" t="inlineStr"/>
      <c r="B106" s="22" t="n">
        <v>3</v>
      </c>
      <c r="C106" s="22" t="inlineStr">
        <is>
          <t>AU-011</t>
        </is>
      </c>
      <c r="D106" s="23" t="inlineStr">
        <is>
          <t>Sortable deadline names a year the source sentence does not</t>
        </is>
      </c>
      <c r="E106" s="22" t="inlineStr">
        <is>
          <t>deadline_iso</t>
        </is>
      </c>
      <c r="F106" s="23" t="inlineStr">
        <is>
          <t>2026-12-01  &lt;-  International direct applications close 1 December of the year prior to commencement for Semester 1 (February) and 29 May of the commencing year for S</t>
        </is>
      </c>
      <c r="G106" s="23" t="inlineStr">
        <is>
          <t>Confirm the year. The source says 'the year prior to commencement' without naming one</t>
        </is>
      </c>
    </row>
    <row r="107">
      <c r="A107" s="17" t="inlineStr"/>
      <c r="B107" s="22" t="n">
        <v>3</v>
      </c>
      <c r="C107" s="22" t="inlineStr">
        <is>
          <t>AU-012</t>
        </is>
      </c>
      <c r="D107" s="23" t="inlineStr">
        <is>
          <t>Sortable deadline names a year the source sentence does not</t>
        </is>
      </c>
      <c r="E107" s="22" t="inlineStr">
        <is>
          <t>deadline_iso</t>
        </is>
      </c>
      <c r="F107" s="23" t="inlineStr">
        <is>
          <t>2026-12-01  &lt;-  Semester 1 (February) intake only for this course; international direct applications close 1 December of the prior year</t>
        </is>
      </c>
      <c r="G107" s="23" t="inlineStr">
        <is>
          <t>Confirm the year. The source says 'the year prior to commencement' without naming one</t>
        </is>
      </c>
    </row>
    <row r="108">
      <c r="A108" s="17" t="inlineStr"/>
      <c r="B108" s="22" t="n">
        <v>3</v>
      </c>
      <c r="C108" s="22" t="inlineStr">
        <is>
          <t>AU-031</t>
        </is>
      </c>
      <c r="D108" s="23" t="inlineStr">
        <is>
          <t>Sortable deadline names a year the source sentence does not</t>
        </is>
      </c>
      <c r="E108" s="22" t="inlineStr">
        <is>
          <t>deadline_iso</t>
        </is>
      </c>
      <c r="F108" s="23" t="inlineStr">
        <is>
          <t>2026-11-30  &lt;-  S1 (Feb) commencement: close 30 November of the previous year; S2 (Jul) commencement: close 31 May of the year of commencement</t>
        </is>
      </c>
      <c r="G108" s="23" t="inlineStr">
        <is>
          <t>Confirm the year. The source says 'the year prior to commencement' without naming one</t>
        </is>
      </c>
    </row>
    <row r="109">
      <c r="A109" s="17" t="inlineStr"/>
      <c r="B109" s="22" t="n">
        <v>3</v>
      </c>
      <c r="C109" s="22" t="inlineStr">
        <is>
          <t>AU-032</t>
        </is>
      </c>
      <c r="D109" s="23" t="inlineStr">
        <is>
          <t>Sortable deadline names a year the source sentence does not</t>
        </is>
      </c>
      <c r="E109" s="22" t="inlineStr">
        <is>
          <t>deadline_iso</t>
        </is>
      </c>
      <c r="F109" s="23" t="inlineStr">
        <is>
          <t>2026-11-30  &lt;-  S1 (Feb) commencement: close 30 November of the previous year; S2 (Jul) commencement: close 31 May of the year of commencement</t>
        </is>
      </c>
      <c r="G109" s="23" t="inlineStr">
        <is>
          <t>Confirm the year. The source says 'the year prior to commencement' without naming one</t>
        </is>
      </c>
    </row>
    <row r="110">
      <c r="A110" s="17" t="inlineStr"/>
      <c r="B110" s="22" t="n">
        <v>3</v>
      </c>
      <c r="C110" s="22" t="inlineStr">
        <is>
          <t>AU-033</t>
        </is>
      </c>
      <c r="D110" s="23" t="inlineStr">
        <is>
          <t>Sortable deadline names a year the source sentence does not</t>
        </is>
      </c>
      <c r="E110" s="22" t="inlineStr">
        <is>
          <t>deadline_iso</t>
        </is>
      </c>
      <c r="F110" s="23" t="inlineStr">
        <is>
          <t>2026-11-30  &lt;-  S1 (Feb) commencement: close 30 November of the previous year; S2 (Jul) commencement: close 31 May of the year of commencement</t>
        </is>
      </c>
      <c r="G110" s="23" t="inlineStr">
        <is>
          <t>Confirm the year. The source says 'the year prior to commencement' without naming one</t>
        </is>
      </c>
    </row>
    <row r="111">
      <c r="A111" s="17" t="inlineStr"/>
      <c r="B111" s="22" t="n">
        <v>3</v>
      </c>
      <c r="C111" s="22" t="inlineStr">
        <is>
          <t>AU-034</t>
        </is>
      </c>
      <c r="D111" s="23" t="inlineStr">
        <is>
          <t>Sortable deadline names a year the source sentence does not</t>
        </is>
      </c>
      <c r="E111" s="22" t="inlineStr">
        <is>
          <t>deadline_iso</t>
        </is>
      </c>
      <c r="F111" s="23" t="inlineStr">
        <is>
          <t>2026-11-30  &lt;-  S1 (Feb) commencement: close 30 November of the previous year; S2 (Jul) commencement: close 31 May of the year of commencement</t>
        </is>
      </c>
      <c r="G111" s="23" t="inlineStr">
        <is>
          <t>Confirm the year. The source says 'the year prior to commencement' without naming one</t>
        </is>
      </c>
    </row>
    <row r="112">
      <c r="A112" s="17" t="inlineStr"/>
      <c r="B112" s="22" t="n">
        <v>3</v>
      </c>
      <c r="C112" s="22" t="inlineStr">
        <is>
          <t>AU-035</t>
        </is>
      </c>
      <c r="D112" s="23" t="inlineStr">
        <is>
          <t>Sortable deadline names a year the source sentence does not</t>
        </is>
      </c>
      <c r="E112" s="22" t="inlineStr">
        <is>
          <t>deadline_iso</t>
        </is>
      </c>
      <c r="F112" s="23" t="inlineStr">
        <is>
          <t>2026-11-30  &lt;-  Semester 1 only: applications close 30 November of the previous year</t>
        </is>
      </c>
      <c r="G112" s="23" t="inlineStr">
        <is>
          <t>Confirm the year. The source says 'the year prior to commencement' without naming one</t>
        </is>
      </c>
    </row>
    <row r="113">
      <c r="A113" s="17" t="inlineStr"/>
      <c r="B113" s="22" t="n">
        <v>3</v>
      </c>
      <c r="C113" s="22" t="inlineStr">
        <is>
          <t>AU-036</t>
        </is>
      </c>
      <c r="D113" s="23" t="inlineStr">
        <is>
          <t>Sortable deadline names a year the source sentence does not</t>
        </is>
      </c>
      <c r="E113" s="22" t="inlineStr">
        <is>
          <t>deadline_iso</t>
        </is>
      </c>
      <c r="F113" s="23" t="inlineStr">
        <is>
          <t>2026-11-30  &lt;-  Semester 1 only: applications close 30 November of the previous year</t>
        </is>
      </c>
      <c r="G113" s="23" t="inlineStr">
        <is>
          <t>Confirm the year. The source says 'the year prior to commencement' without naming one</t>
        </is>
      </c>
    </row>
  </sheetData>
  <autoFilter ref="A3:G113"/>
  <dataValidations count="1">
    <dataValidation sqref="A4:A113" showDropDown="0" showInputMessage="0" showErrorMessage="0" allowBlank="1" type="list">
      <formula1>"yes"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2" customWidth="1" min="3" max="3"/>
    <col width="34" customWidth="1" min="4" max="4"/>
    <col width="18" customWidth="1" min="5" max="5"/>
    <col width="34" customWidth="1" min="6" max="6"/>
    <col width="16" customWidth="1" min="7" max="7"/>
    <col width="10" customWidth="1" min="8" max="8"/>
    <col width="7"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12" customWidth="1" min="17" max="17"/>
    <col width="34" customWidth="1" min="18" max="18"/>
    <col width="34" customWidth="1" min="19" max="19"/>
    <col width="34" customWidth="1" min="20" max="20"/>
    <col width="34" customWidth="1" min="21" max="21"/>
    <col width="34" customWidth="1" min="22" max="22"/>
    <col width="34" customWidth="1" min="23" max="23"/>
    <col width="11" customWidth="1" min="24" max="24"/>
    <col width="34" customWidth="1" min="25" max="25"/>
    <col width="34" customWidth="1" min="26" max="26"/>
    <col width="34" customWidth="1" min="27" max="27"/>
    <col width="15" customWidth="1" min="28" max="28"/>
    <col width="10" customWidth="1" min="29" max="29"/>
    <col width="34" customWidth="1" min="30" max="30"/>
    <col width="34" customWidth="1" min="31" max="31"/>
    <col width="34" customWidth="1" min="32" max="32"/>
    <col width="13" customWidth="1" min="33" max="33"/>
    <col width="34" customWidth="1" min="34" max="34"/>
    <col width="15" customWidth="1" min="35" max="35"/>
    <col width="34" customWidth="1" min="36" max="36"/>
  </cols>
  <sheetData>
    <row r="1" ht="30" customHeight="1">
      <c r="A1" s="16" t="inlineStr">
        <is>
          <t>record_id (do not edit)</t>
        </is>
      </c>
      <c r="B1" s="16" t="inlineStr">
        <is>
          <t>institution</t>
        </is>
      </c>
      <c r="C1" s="16" t="inlineStr">
        <is>
          <t>city</t>
        </is>
      </c>
      <c r="D1" s="16" t="inlineStr">
        <is>
          <t>programme</t>
        </is>
      </c>
      <c r="E1" s="16" t="inlineStr">
        <is>
          <t>degree</t>
        </is>
      </c>
      <c r="F1" s="16" t="inlineStr">
        <is>
          <t>url</t>
        </is>
      </c>
      <c r="G1" s="16" t="inlineStr">
        <is>
          <t>institution type</t>
        </is>
      </c>
      <c r="H1" s="16" t="inlineStr">
        <is>
          <t>language</t>
        </is>
      </c>
      <c r="I1" s="16" t="inlineStr">
        <is>
          <t>years</t>
        </is>
      </c>
      <c r="J1" s="16" t="inlineStr">
        <is>
          <t>entry</t>
        </is>
      </c>
      <c r="K1" s="16" t="inlineStr">
        <is>
          <t>IB</t>
        </is>
      </c>
      <c r="L1" s="16" t="inlineStr">
        <is>
          <t>A Level</t>
        </is>
      </c>
      <c r="M1" s="16" t="inlineStr">
        <is>
          <t>CBSE</t>
        </is>
      </c>
      <c r="N1" s="16" t="inlineStr">
        <is>
          <t>ISC</t>
        </is>
      </c>
      <c r="O1" s="16" t="inlineStr">
        <is>
          <t>other</t>
        </is>
      </c>
      <c r="P1" s="16" t="inlineStr">
        <is>
          <t>English requirement</t>
        </is>
      </c>
      <c r="Q1" s="16" t="inlineStr">
        <is>
          <t>selection</t>
        </is>
      </c>
      <c r="R1" s="16" t="inlineStr">
        <is>
          <t>deadline</t>
        </is>
      </c>
      <c r="S1" s="16" t="inlineStr">
        <is>
          <t>tuition, international</t>
        </is>
      </c>
      <c r="T1" s="16" t="inlineStr">
        <is>
          <t>scholarships</t>
        </is>
      </c>
      <c r="U1" s="16" t="inlineStr">
        <is>
          <t>visa</t>
        </is>
      </c>
      <c r="V1" s="16" t="inlineStr">
        <is>
          <t>apply</t>
        </is>
      </c>
      <c r="W1" s="16" t="inlineStr">
        <is>
          <t>notes</t>
        </is>
      </c>
      <c r="X1" s="16" t="inlineStr">
        <is>
          <t>status</t>
        </is>
      </c>
      <c r="Y1" s="16" t="inlineStr">
        <is>
          <t>what the sheet got wrong</t>
        </is>
      </c>
      <c r="Z1" s="16" t="inlineStr">
        <is>
          <t>source URL</t>
        </is>
      </c>
      <c r="AA1" s="16" t="inlineStr">
        <is>
          <t>exact quote</t>
        </is>
      </c>
      <c r="AB1" s="16" t="inlineStr">
        <is>
          <t>date checked</t>
        </is>
      </c>
      <c r="AC1" s="16" t="inlineStr">
        <is>
          <t>link works</t>
        </is>
      </c>
      <c r="AD1" s="16" t="inlineStr">
        <is>
          <t>checked by</t>
        </is>
      </c>
      <c r="AE1" s="16" t="inlineStr">
        <is>
          <t>documents required</t>
        </is>
      </c>
      <c r="AF1" s="16" t="inlineStr">
        <is>
          <t>deadline rounds</t>
        </is>
      </c>
      <c r="AG1" s="16" t="inlineStr">
        <is>
          <t>fee year</t>
        </is>
      </c>
      <c r="AH1" s="16" t="inlineStr">
        <is>
          <t>application fee</t>
        </is>
      </c>
      <c r="AI1" s="16" t="inlineStr">
        <is>
          <t>deadline (sortable)</t>
        </is>
      </c>
      <c r="AJ1" s="16" t="inlineStr">
        <is>
          <t>India entry (combined)</t>
        </is>
      </c>
    </row>
    <row r="2" ht="42" customHeight="1">
      <c r="A2" s="24" t="inlineStr">
        <is>
          <t>AU-001</t>
        </is>
      </c>
      <c r="B2" s="24" t="inlineStr">
        <is>
          <t>University of Melbourne</t>
        </is>
      </c>
      <c r="C2" s="24" t="inlineStr">
        <is>
          <t>Australia</t>
        </is>
      </c>
      <c r="D2" s="24" t="inlineStr">
        <is>
          <t>Bachelor of Commerce</t>
        </is>
      </c>
      <c r="E2" s="24" t="inlineStr">
        <is>
          <t>Bachelor</t>
        </is>
      </c>
      <c r="F2" s="24" t="inlineStr">
        <is>
          <t>https://study.unimelb.edu.au/find/courses/undergraduate/bachelor-of-commerce/</t>
        </is>
      </c>
      <c r="G2" s="24" t="inlineStr">
        <is>
          <t>Go8 / Top Research</t>
        </is>
      </c>
      <c r="H2" s="24" t="inlineStr">
        <is>
          <t>English</t>
        </is>
      </c>
      <c r="I2" s="24" t="inlineStr">
        <is>
          <t>3</t>
        </is>
      </c>
      <c r="J2" s="24" t="inlineStr">
        <is>
          <t>Only Tamil Nadu HSC, Maharashtra HSC and Karnataka PUC accepted as direct-entry Indian state boards</t>
        </is>
      </c>
      <c r="K2" s="24" t="inlineStr">
        <is>
          <t>35 (2026 entry score, guide only). Prerequisites: grade 4 in an approved English subject and grade 4 in Mathematics Analysis &amp; Approaches (SL or HL) or grade 4 in Mathematics Applications &amp; Interpretation HL (AI SL not accepted)</t>
        </is>
      </c>
      <c r="L2" s="24" t="inlineStr">
        <is>
          <t>ABB (2026 entry score, guide only). Prerequisites: Mathematics and an approved A/AS Level English subject; minimum three A Levels, grade C or better in prerequisite subjects</t>
        </is>
      </c>
      <c r="M2" s="24" t="inlineStr">
        <is>
          <t>81.00 (2026 entry score, guide only) - average of best four final-year subjects; prerequisites English and Mathematics</t>
        </is>
      </c>
      <c r="N2" s="24" t="inlineStr">
        <is>
          <t>81.00 (2026 entry score, guide only) - average of best four final-year subjects; prerequisites English and Mathematics</t>
        </is>
      </c>
      <c r="O2" s="24" t="inlineStr">
        <is>
          <t>Academic merit against published entry score; meeting minimum entry and English requirements does not guarantee selection. July-start Actuarial Studies majors need higher maths (Calculus 2 entry level)</t>
        </is>
      </c>
      <c r="P2" s="24" t="inlineStr">
        <is>
          <t>IELTS 6.5 overall with no band less than 6.0 (course page header, international view)</t>
        </is>
      </c>
      <c r="Q2" s="24" t="inlineStr">
        <is>
          <t>None</t>
        </is>
      </c>
      <c r="R2" s="24" t="inlineStr">
        <is>
          <t>Direct international applications close: mid-year intake 2026 (Semester 2/July) 31 May 2026; start-year intake 2027 (Semester 1/February-March) 30 November 2026; mid-year 2027 31 May 2027</t>
        </is>
      </c>
      <c r="S2" s="24" t="inlineStr">
        <is>
          <t>AUD 52,360 - 59,052 indicative first year fee (2026); AUD 56,451 - 62,464 (2027). Fees are subject-based (discipline fee bands)</t>
        </is>
      </c>
      <c r="T2"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 Bachelor of Commerce Global Scholarship; Commerce Achievement Scholarship</t>
        </is>
      </c>
      <c r="U2" s="24" t="inlineStr">
        <is>
          <t>Australian Student visa (subclass 500) after accepting offer and receiving CoE; OSHC compulsory; full-time enrolment in CRICOS-registered course required; Genuine Student requirement applies</t>
        </is>
      </c>
      <c r="V2"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t>
        </is>
      </c>
      <c r="W2" s="24" t="inlineStr">
        <is>
          <t>CRICOS 002143B. Intakes: March (Semester 1) and July (Semester 2) for internationals. Seven majors incl. Accounting, Actuarial Studies, Finance. AUD 17,000 deposit payable on acceptance.</t>
        </is>
      </c>
      <c r="X2" s="24" t="inlineStr">
        <is>
          <t>Confirmed</t>
        </is>
      </c>
      <c r="Y2" s="24" t="inlineStr">
        <is>
          <t>Sheet CBSE 88%+ and ISC 80%+ vs published 81.00 for both; sheet IB band 34-38 vs published 2026 guide score 35; sheet deadline 'May 31' is only the mid-year close - Semester 1 direct applications close 30 November; sheet A-level ABB matches</t>
        </is>
      </c>
      <c r="Z2" s="24" t="inlineStr">
        <is>
          <t>https://study.unimelb.edu.au/find/courses/undergraduate/bachelor-of-commerce/fees/</t>
        </is>
      </c>
      <c r="AA2" s="24" t="inlineStr">
        <is>
          <t>2026 fees Indicative first year fee AUD$52,360 - $59,052 [...] CRICOS code: 002143B</t>
        </is>
      </c>
      <c r="AB2" s="24" t="inlineStr">
        <is>
          <t>13 September 2026</t>
        </is>
      </c>
      <c r="AC2" s="24" t="inlineStr">
        <is>
          <t>yes</t>
        </is>
      </c>
      <c r="AD2" s="24" t="inlineStr">
        <is>
          <t>Pave verification, web-checked</t>
        </is>
      </c>
      <c r="AE2" s="24" t="inlineStr">
        <is>
          <t>Academic transcripts/certificates, evidence of English language proficiency, passport identity page; applicants who studied in certain countries must apply via an authorised agent for document verification</t>
        </is>
      </c>
      <c r="AF2" s="24" t="inlineStr">
        <is>
          <t>Deadlines published for 2026 mid-year and both 2027 intakes as of 13 September 2026 (study.unimelb.edu.au/how-to-apply/undergraduate-study/international-applications/applications)</t>
        </is>
      </c>
      <c r="AG2" s="24" t="inlineStr">
        <is>
          <t>2026 (2027 also published)</t>
        </is>
      </c>
      <c r="AH2" s="24" t="inlineStr">
        <is>
          <t>AUD 154 non-refundable per direct international application (exemptions apply, e.g. sponsored applicants)</t>
        </is>
      </c>
      <c r="AI2" s="24" t="inlineStr">
        <is>
          <t>2026-11-30</t>
        </is>
      </c>
      <c r="AJ2" s="24" t="inlineStr">
        <is>
          <t>81.00 (2026 entry score, guide only) - average of best four final-year subjects; prerequisites English and Mathematics | ISC: 81.00 (2026 entry score, guide only) - average of best four final-year subjects; prerequisites English and Mathematics</t>
        </is>
      </c>
    </row>
    <row r="3" ht="42" customHeight="1">
      <c r="A3" s="24" t="inlineStr">
        <is>
          <t>AU-002</t>
        </is>
      </c>
      <c r="B3" s="24" t="inlineStr">
        <is>
          <t>University of Melbourne</t>
        </is>
      </c>
      <c r="C3" s="24" t="inlineStr">
        <is>
          <t>Australia</t>
        </is>
      </c>
      <c r="D3" s="24" t="inlineStr">
        <is>
          <t>Bachelor of Science</t>
        </is>
      </c>
      <c r="E3" s="24" t="inlineStr">
        <is>
          <t>Bachelor</t>
        </is>
      </c>
      <c r="F3" s="24" t="inlineStr">
        <is>
          <t>https://study.unimelb.edu.au/find/courses/undergraduate/bachelor-of-science/</t>
        </is>
      </c>
      <c r="G3" s="24" t="inlineStr">
        <is>
          <t>Go8 / Top Research</t>
        </is>
      </c>
      <c r="H3" s="24" t="inlineStr">
        <is>
          <t>English</t>
        </is>
      </c>
      <c r="I3" s="24" t="inlineStr">
        <is>
          <t>3</t>
        </is>
      </c>
      <c r="J3" s="24" t="inlineStr">
        <is>
          <t>Only Tamil Nadu HSC, Maharashtra HSC and Karnataka PUC accepted as direct-entry Indian state boards</t>
        </is>
      </c>
      <c r="K3" s="24" t="inlineStr">
        <is>
          <t>31 (2026 entry score, guide only). Prerequisites: grade 4 in English/English B, grade 4 in Mathematics (AI HL, AA SL or AA HL), and grade 4 in one of Biology, Chemistry or Physics (HL or SL)</t>
        </is>
      </c>
      <c r="L3" s="24" t="inlineStr">
        <is>
          <t>BBB (2026 entry score, guide only). Prerequisites: Mathematics, one of Biology/Chemistry/Physics, and an approved A/AS Level English subject (or Maths + Further Maths + English); min. three A Levels, grade C in prerequisites</t>
        </is>
      </c>
      <c r="M3" s="24" t="inlineStr">
        <is>
          <t>75.00 (2026 entry score, guide only) - average of best four final-year subjects; prerequisites English, Mathematics and one of Biology/Chemistry/Physics</t>
        </is>
      </c>
      <c r="N3" s="24" t="inlineStr">
        <is>
          <t>75.00 (2026 entry score, guide only) - same basis as CBSE</t>
        </is>
      </c>
      <c r="O3" s="24" t="inlineStr">
        <is>
          <t>Academic merit against published entry score; subject prerequisites must be met with stated minimum grades</t>
        </is>
      </c>
      <c r="P3" s="24" t="inlineStr">
        <is>
          <t>IELTS 6.5 overall with no band less than 6.0 (course page header, international view)</t>
        </is>
      </c>
      <c r="Q3" s="24" t="inlineStr">
        <is>
          <t>None</t>
        </is>
      </c>
      <c r="R3" s="24" t="inlineStr">
        <is>
          <t>Direct international applications close: mid-year intake 2026 (Semester 2/July) 31 May 2026; start-year intake 2027 (Semester 1/February-March) 30 November 2026; mid-year 2027 31 May 2027</t>
        </is>
      </c>
      <c r="S3" s="24" t="inlineStr">
        <is>
          <t>AUD 52,944 - 62,208 indicative first year fee (2026); AUD 55,556 - 65,344 (2027)</t>
        </is>
      </c>
      <c r="T3"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t>
        </is>
      </c>
      <c r="U3" s="24" t="inlineStr">
        <is>
          <t>Australian Student visa (subclass 500) after accepting offer and receiving CoE; OSHC compulsory; full-time enrolment in CRICOS-registered course required; Genuine Student requirement applies</t>
        </is>
      </c>
      <c r="V3"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t>
        </is>
      </c>
      <c r="W3" s="24" t="inlineStr">
        <is>
          <t>CRICOS 002153M. Intakes: March and July. 40+ majors incl. computing, mathematics, psychology; gateway to graduate engineering/medicine.</t>
        </is>
      </c>
      <c r="X3" s="24" t="inlineStr">
        <is>
          <t>Confirmed</t>
        </is>
      </c>
      <c r="Y3" s="24" t="inlineStr">
        <is>
          <t>Sheet IB 32-36 vs published 31; sheet CBSE 85%+ vs 75.00; sheet ISC 78%+ vs 75.00; sheet fee AUD 52,944 matches published lower bound</t>
        </is>
      </c>
      <c r="Z3" s="24" t="inlineStr">
        <is>
          <t>https://study.unimelb.edu.au/find/courses/undergraduate/bachelor-of-science/fees/</t>
        </is>
      </c>
      <c r="AA3" s="24" t="inlineStr">
        <is>
          <t>2026 fees Indicative first year fee AUD$52,944 - $62,208 [...] CRICOS code: 002153M</t>
        </is>
      </c>
      <c r="AB3" s="24" t="inlineStr">
        <is>
          <t>13 September 2026</t>
        </is>
      </c>
      <c r="AC3" s="24" t="inlineStr">
        <is>
          <t>yes</t>
        </is>
      </c>
      <c r="AD3" s="24" t="inlineStr">
        <is>
          <t>Pave verification, web-checked</t>
        </is>
      </c>
      <c r="AE3" s="24" t="inlineStr">
        <is>
          <t>Academic transcripts/certificates, evidence of English language proficiency, passport identity page; applicants who studied in certain countries must apply via an authorised agent for document verification</t>
        </is>
      </c>
      <c r="AF3" s="24" t="inlineStr">
        <is>
          <t>Deadlines published for 2026 mid-year and both 2027 intakes as of 13 September 2026 (study.unimelb.edu.au/how-to-apply/undergraduate-study/international-applications/applications)</t>
        </is>
      </c>
      <c r="AG3" s="24" t="inlineStr">
        <is>
          <t>2026 (2027 also published)</t>
        </is>
      </c>
      <c r="AH3" s="24" t="inlineStr">
        <is>
          <t>AUD 154 non-refundable per direct international application (exemptions apply, e.g. sponsored applicants)</t>
        </is>
      </c>
      <c r="AI3" s="24" t="inlineStr">
        <is>
          <t>2026-11-30</t>
        </is>
      </c>
      <c r="AJ3" s="24" t="inlineStr">
        <is>
          <t>75.00 (2026 entry score, guide only) - average of best four final-year subjects; prerequisites English, Mathematics and one of Biology/Chemistry/Physics | ISC: 75.00 (2026 entry score, guide only) - same basis as CBSE</t>
        </is>
      </c>
    </row>
    <row r="4" ht="42" customHeight="1">
      <c r="A4" s="24" t="inlineStr">
        <is>
          <t>AU-003</t>
        </is>
      </c>
      <c r="B4" s="24" t="inlineStr">
        <is>
          <t>University of Melbourne</t>
        </is>
      </c>
      <c r="C4" s="24" t="inlineStr">
        <is>
          <t>Australia</t>
        </is>
      </c>
      <c r="D4" s="24" t="inlineStr">
        <is>
          <t>Bachelor of Arts</t>
        </is>
      </c>
      <c r="E4" s="24" t="inlineStr">
        <is>
          <t>Bachelor</t>
        </is>
      </c>
      <c r="F4" s="24" t="inlineStr">
        <is>
          <t>https://study.unimelb.edu.au/find/courses/undergraduate/bachelor-of-arts/</t>
        </is>
      </c>
      <c r="G4" s="24" t="inlineStr">
        <is>
          <t>Go8 / Top Research</t>
        </is>
      </c>
      <c r="H4" s="24" t="inlineStr">
        <is>
          <t>English</t>
        </is>
      </c>
      <c r="I4" s="24" t="inlineStr">
        <is>
          <t>3</t>
        </is>
      </c>
      <c r="J4" s="24" t="inlineStr">
        <is>
          <t>Only Tamil Nadu HSC, Maharashtra HSC and Karnataka PUC accepted as direct-entry Indian state boards</t>
        </is>
      </c>
      <c r="K4" s="24" t="inlineStr">
        <is>
          <t>30 (2026 entry score, guide only). Prerequisite: grade 4 in English or English B (SL or HL)</t>
        </is>
      </c>
      <c r="L4" s="24" t="inlineStr">
        <is>
          <t>BBB (2026 entry score, guide only). Prerequisite: an approved A/AS Level English subject; Economics majors strongly encouraged to take Mathematics; min. three A Levels</t>
        </is>
      </c>
      <c r="M4" s="24" t="inlineStr">
        <is>
          <t>65.00 (2026 entry score, guide only) - average of best four final-year subjects; prerequisite English</t>
        </is>
      </c>
      <c r="N4" s="24" t="inlineStr">
        <is>
          <t>65.00 (2026 entry score, guide only) - same basis as CBSE</t>
        </is>
      </c>
      <c r="O4" s="24" t="inlineStr">
        <is>
          <t>Academic merit against published entry score</t>
        </is>
      </c>
      <c r="P4" s="24" t="inlineStr">
        <is>
          <t>IELTS 6.5 overall with no band less than 6.0 (course page header, international view)</t>
        </is>
      </c>
      <c r="Q4" s="24" t="inlineStr">
        <is>
          <t>None</t>
        </is>
      </c>
      <c r="R4" s="24" t="inlineStr">
        <is>
          <t>Direct international applications close: mid-year intake 2026 (Semester 2/July) 31 May 2026; start-year intake 2027 (Semester 1/February-March) 30 November 2026; mid-year 2027 31 May 2027</t>
        </is>
      </c>
      <c r="S4" s="24" t="inlineStr">
        <is>
          <t>AUD 38,004 - 56,252 indicative first year fee (2026); AUD 44,356 - 57,764 (2027)</t>
        </is>
      </c>
      <c r="T4"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t>
        </is>
      </c>
      <c r="U4" s="24" t="inlineStr">
        <is>
          <t>Australian Student visa (subclass 500) after accepting offer and receiving CoE; OSHC compulsory; full-time enrolment in CRICOS-registered course required; Genuine Student requirement applies</t>
        </is>
      </c>
      <c r="V4"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t>
        </is>
      </c>
      <c r="W4" s="24" t="inlineStr">
        <is>
          <t>CRICOS 002167E. Intakes: March and July. 40+ majors across humanities and social sciences.</t>
        </is>
      </c>
      <c r="X4" s="24" t="inlineStr">
        <is>
          <t>Confirmed</t>
        </is>
      </c>
      <c r="Y4" s="24" t="inlineStr">
        <is>
          <t>Sheet A-level BBC vs published BBB; sheet CBSE 83%+ vs 65.00; sheet ISC 75%+ vs 65.00; sheet IB lower bound 30 matches published 30</t>
        </is>
      </c>
      <c r="Z4" s="24" t="inlineStr">
        <is>
          <t>https://study.unimelb.edu.au/find/courses/undergraduate/bachelor-of-arts/fees/</t>
        </is>
      </c>
      <c r="AA4" s="24" t="inlineStr">
        <is>
          <t>2026 fees Indicative first year fee AUD$38,004 - $56,252 [...] CRICOS code: 002167E</t>
        </is>
      </c>
      <c r="AB4" s="24" t="inlineStr">
        <is>
          <t>13 September 2026</t>
        </is>
      </c>
      <c r="AC4" s="24" t="inlineStr">
        <is>
          <t>yes</t>
        </is>
      </c>
      <c r="AD4" s="24" t="inlineStr">
        <is>
          <t>Pave verification, web-checked</t>
        </is>
      </c>
      <c r="AE4" s="24" t="inlineStr">
        <is>
          <t>Academic transcripts/certificates, evidence of English language proficiency, passport identity page; applicants who studied in certain countries must apply via an authorised agent for document verification</t>
        </is>
      </c>
      <c r="AF4" s="24" t="inlineStr">
        <is>
          <t>Deadlines published for 2026 mid-year and both 2027 intakes as of 13 September 2026 (study.unimelb.edu.au/how-to-apply/undergraduate-study/international-applications/applications)</t>
        </is>
      </c>
      <c r="AG4" s="24" t="inlineStr">
        <is>
          <t>2026 (2027 also published)</t>
        </is>
      </c>
      <c r="AH4" s="24" t="inlineStr">
        <is>
          <t>AUD 154 non-refundable per direct international application (exemptions apply, e.g. sponsored applicants)</t>
        </is>
      </c>
      <c r="AI4" s="24" t="inlineStr">
        <is>
          <t>2026-11-30</t>
        </is>
      </c>
      <c r="AJ4" s="24" t="inlineStr">
        <is>
          <t>65.00 (2026 entry score, guide only) - average of best four final-year subjects; prerequisite English | ISC: 65.00 (2026 entry score, guide only) - same basis as CBSE</t>
        </is>
      </c>
    </row>
    <row r="5" ht="42" customHeight="1">
      <c r="A5" s="24" t="inlineStr">
        <is>
          <t>AU-004</t>
        </is>
      </c>
      <c r="B5" s="24" t="inlineStr">
        <is>
          <t>University of Melbourne</t>
        </is>
      </c>
      <c r="C5" s="24" t="inlineStr">
        <is>
          <t>Australia</t>
        </is>
      </c>
      <c r="D5" s="24" t="inlineStr">
        <is>
          <t>Bachelor of Design</t>
        </is>
      </c>
      <c r="E5" s="24" t="inlineStr">
        <is>
          <t>Bachelor</t>
        </is>
      </c>
      <c r="F5" s="24" t="inlineStr">
        <is>
          <t>https://study.unimelb.edu.au/find/courses/undergraduate/bachelor-of-design/</t>
        </is>
      </c>
      <c r="G5" s="24" t="inlineStr">
        <is>
          <t>Go8 / Top Research</t>
        </is>
      </c>
      <c r="H5" s="24" t="inlineStr">
        <is>
          <t>English</t>
        </is>
      </c>
      <c r="I5" s="24" t="inlineStr">
        <is>
          <t>3</t>
        </is>
      </c>
      <c r="J5" s="24" t="inlineStr">
        <is>
          <t>Mathematical knowledge equivalent to VCE Mathematical Methods (study score 25+) required for Construction, Civil/Mechanical/Digital-Infrastructure Systems and Computing majors; any VCE Mathematics for Property major</t>
        </is>
      </c>
      <c r="K5" s="24" t="inlineStr">
        <is>
          <t>30 (2026 entry score, guide only). Prerequisite: grade 4 in English or English B (SL or HL)</t>
        </is>
      </c>
      <c r="L5" s="24" t="inlineStr">
        <is>
          <t>BBB (2026 entry score, guide only). Prerequisite: an approved A/AS Level English subject; min. three A Levels</t>
        </is>
      </c>
      <c r="M5" s="24" t="inlineStr">
        <is>
          <t>70.00 (2026 entry score, guide only) - average of best four final-year subjects</t>
        </is>
      </c>
      <c r="N5" s="24" t="inlineStr">
        <is>
          <t>70.00 (2026 entry score, guide only) - same basis as CBSE</t>
        </is>
      </c>
      <c r="O5" s="24" t="inlineStr">
        <is>
          <t>Academic merit against published entry score; major-specific maths knowledge requirements</t>
        </is>
      </c>
      <c r="P5" s="24" t="inlineStr">
        <is>
          <t>IELTS 6.5 overall with no band less than 6.0 (course page header, international view)</t>
        </is>
      </c>
      <c r="Q5" s="24" t="inlineStr">
        <is>
          <t>None - entry is score-based; no portfolio required for admission</t>
        </is>
      </c>
      <c r="R5" s="24" t="inlineStr">
        <is>
          <t>Direct international applications close: mid-year intake 2026 (Semester 2/July) 31 May 2026; start-year intake 2027 (Semester 1/February-March) 30 November 2026; mid-year 2027 31 May 2027</t>
        </is>
      </c>
      <c r="S5" s="24" t="inlineStr">
        <is>
          <t>AUD 43,868 - 57,900 indicative first year fee (2026); AUD 45,928 - 63,924 (2027)</t>
        </is>
      </c>
      <c r="T5"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t>
        </is>
      </c>
      <c r="U5" s="24" t="inlineStr">
        <is>
          <t>Australian Student visa (subclass 500) after accepting offer and receiving CoE; OSHC compulsory; full-time enrolment in CRICOS-registered course required; Genuine Student requirement applies</t>
        </is>
      </c>
      <c r="V5"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t>
        </is>
      </c>
      <c r="W5" s="24" t="inlineStr">
        <is>
          <t>CRICOS 090744C. Intakes: March and July. Majors incl. architecture, landscape architecture, urban planning, construction, engineering systems.</t>
        </is>
      </c>
      <c r="X5" s="24" t="inlineStr">
        <is>
          <t>Confirmed</t>
        </is>
      </c>
      <c r="Y5" s="24" t="inlineStr">
        <is>
          <t>Sheet fee 'AUD 50,000-56,000' vs published AUD 43,868-57,900 (2026); sheet A-level BBC vs BBB; sheet CBSE 80%+ vs 70.00; sheet ISC 73%+ vs 70.00</t>
        </is>
      </c>
      <c r="Z5" s="24" t="inlineStr">
        <is>
          <t>https://study.unimelb.edu.au/find/courses/undergraduate/bachelor-of-design/fees/</t>
        </is>
      </c>
      <c r="AA5" s="24" t="inlineStr">
        <is>
          <t>2026 fees Indicative first year fee AUD$43,868 - $57,900 [...] CRICOS code: 090744C</t>
        </is>
      </c>
      <c r="AB5" s="24" t="inlineStr">
        <is>
          <t>13 September 2026</t>
        </is>
      </c>
      <c r="AC5" s="24" t="inlineStr">
        <is>
          <t>yes</t>
        </is>
      </c>
      <c r="AD5" s="24" t="inlineStr">
        <is>
          <t>Pave verification, web-checked</t>
        </is>
      </c>
      <c r="AE5" s="24" t="inlineStr">
        <is>
          <t>Academic transcripts/certificates, evidence of English language proficiency, passport identity page; applicants who studied in certain countries must apply via an authorised agent for document verification</t>
        </is>
      </c>
      <c r="AF5" s="24" t="inlineStr">
        <is>
          <t>Deadlines published for 2026 mid-year and both 2027 intakes as of 13 September 2026 (study.unimelb.edu.au/how-to-apply/undergraduate-study/international-applications/applications)</t>
        </is>
      </c>
      <c r="AG5" s="24" t="inlineStr">
        <is>
          <t>2026 (2027 also published)</t>
        </is>
      </c>
      <c r="AH5" s="24" t="inlineStr">
        <is>
          <t>AUD 154 non-refundable per direct international application (exemptions apply, e.g. sponsored applicants)</t>
        </is>
      </c>
      <c r="AI5" s="24" t="inlineStr">
        <is>
          <t>2026-11-30</t>
        </is>
      </c>
      <c r="AJ5" s="24" t="inlineStr">
        <is>
          <t>70.00 (2026 entry score, guide only) - average of best four final-year subjects | ISC: 70.00 (2026 entry score, guide only) - same basis as CBSE</t>
        </is>
      </c>
    </row>
    <row r="6" ht="42" customHeight="1">
      <c r="A6" s="24" t="inlineStr">
        <is>
          <t>AU-005</t>
        </is>
      </c>
      <c r="B6" s="24" t="inlineStr">
        <is>
          <t>University of Melbourne</t>
        </is>
      </c>
      <c r="C6" s="24" t="inlineStr">
        <is>
          <t>Australia</t>
        </is>
      </c>
      <c r="D6" s="24" t="inlineStr">
        <is>
          <t>Bachelor of Biomedicine</t>
        </is>
      </c>
      <c r="E6" s="24" t="inlineStr">
        <is>
          <t>Bachelor</t>
        </is>
      </c>
      <c r="F6" s="24" t="inlineStr">
        <is>
          <t>https://study.unimelb.edu.au/find/courses/undergraduate/bachelor-of-biomedicine/</t>
        </is>
      </c>
      <c r="G6" s="24" t="inlineStr">
        <is>
          <t>Go8 / Top Research</t>
        </is>
      </c>
      <c r="H6" s="24" t="inlineStr">
        <is>
          <t>English</t>
        </is>
      </c>
      <c r="I6" s="24" t="inlineStr">
        <is>
          <t>3</t>
        </is>
      </c>
      <c r="J6" s="24" t="inlineStr">
        <is>
          <t>Only Tamil Nadu HSC, Maharashtra HSC and Karnataka PUC accepted as direct-entry Indian state boards</t>
        </is>
      </c>
      <c r="K6" s="24" t="inlineStr">
        <is>
          <t>35 (2026 entry score, guide only). Prerequisites: grade 4 in English/English B, grade 4 in Chemistry, grade 4 in Mathematics (AI HL, AA SL or AA HL)</t>
        </is>
      </c>
      <c r="L6" s="24" t="inlineStr">
        <is>
          <t>AAB (2026 entry score, guide only). Prerequisites: Chemistry, Mathematics and an approved A/AS Level English subject; min. three A Levels, grade C in prerequisites</t>
        </is>
      </c>
      <c r="M6" s="24" t="inlineStr">
        <is>
          <t>91.00 (2026 entry score, guide only) - average of best four final-year subjects; prerequisites English, Chemistry and Mathematics</t>
        </is>
      </c>
      <c r="N6" s="24" t="inlineStr">
        <is>
          <t>91.00 (2026 entry score, guide only) - same basis as CBSE</t>
        </is>
      </c>
      <c r="O6" s="24" t="inlineStr">
        <is>
          <t>Academic merit against published entry score; subject prerequisites (Chemistry + Mathematics + English) strictly applied</t>
        </is>
      </c>
      <c r="P6" s="24" t="inlineStr">
        <is>
          <t>IELTS 6.5 overall with no band less than 6.0 (course page header, international view)</t>
        </is>
      </c>
      <c r="Q6" s="24" t="inlineStr">
        <is>
          <t>None for the bachelor (graduate Doctor of Medicine entry later requires separate selection)</t>
        </is>
      </c>
      <c r="R6" s="24" t="inlineStr">
        <is>
          <t>Direct international applications close: mid-year intake 2026 (Semester 2/July) 31 May 2026; start-year intake 2027 (Semester 1/February-March) 30 November 2026; mid-year 2027 31 May 2027</t>
        </is>
      </c>
      <c r="S6" s="24" t="inlineStr">
        <is>
          <t>AUD 54,780 - 61,460 indicative first year fee (2026); AUD 58,084 - 65,288 (2027)</t>
        </is>
      </c>
      <c r="T6"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t>
        </is>
      </c>
      <c r="U6" s="24" t="inlineStr">
        <is>
          <t>Australian Student visa (subclass 500) after accepting offer and receiving CoE; OSHC compulsory; full-time enrolment in CRICOS-registered course required; Genuine Student requirement applies</t>
        </is>
      </c>
      <c r="V6"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t>
        </is>
      </c>
      <c r="W6" s="24" t="inlineStr">
        <is>
          <t>CRICOS 058838G. Intakes: March and July. Pathway toward graduate Doctor of Medicine (separate selection).</t>
        </is>
      </c>
      <c r="X6" s="24" t="inlineStr">
        <is>
          <t>Confirmed</t>
        </is>
      </c>
      <c r="Y6" s="24" t="inlineStr">
        <is>
          <t>Sheet IB 39-43 vs published 2026 guide score 35; sheet A-level AAA vs AAB; sheet CBSE 95%+ vs 91.00; sheet ISC 90%+ vs 91.00; sheet fee 52,000-60,000 vs published 54,780-61,460</t>
        </is>
      </c>
      <c r="Z6" s="24" t="inlineStr">
        <is>
          <t>https://study.unimelb.edu.au/find/courses/undergraduate/bachelor-of-biomedicine/fees/</t>
        </is>
      </c>
      <c r="AA6" s="24" t="inlineStr">
        <is>
          <t>2026 fees Indicative first year fee AUD$54,780 - $61,460 [...] CRICOS code: 058838G</t>
        </is>
      </c>
      <c r="AB6" s="24" t="inlineStr">
        <is>
          <t>13 September 2026</t>
        </is>
      </c>
      <c r="AC6" s="24" t="inlineStr">
        <is>
          <t>yes</t>
        </is>
      </c>
      <c r="AD6" s="24" t="inlineStr">
        <is>
          <t>Pave verification, web-checked</t>
        </is>
      </c>
      <c r="AE6" s="24" t="inlineStr">
        <is>
          <t>Academic transcripts/certificates, evidence of English language proficiency, passport identity page; applicants who studied in certain countries must apply via an authorised agent for document verification</t>
        </is>
      </c>
      <c r="AF6" s="24" t="inlineStr">
        <is>
          <t>Deadlines published for 2026 mid-year and both 2027 intakes as of 13 September 2026 (study.unimelb.edu.au/how-to-apply/undergraduate-study/international-applications/applications)</t>
        </is>
      </c>
      <c r="AG6" s="24" t="inlineStr">
        <is>
          <t>2026 (2027 also published)</t>
        </is>
      </c>
      <c r="AH6" s="24" t="inlineStr">
        <is>
          <t>AUD 154 non-refundable per direct international application (exemptions apply, e.g. sponsored applicants)</t>
        </is>
      </c>
      <c r="AI6" s="24" t="inlineStr">
        <is>
          <t>2026-11-30</t>
        </is>
      </c>
      <c r="AJ6" s="24" t="inlineStr">
        <is>
          <t>91.00 (2026 entry score, guide only) - average of best four final-year subjects; prerequisites English, Chemistry and Mathematics | ISC: 91.00 (2026 entry score, guide only) - same basis as CBSE</t>
        </is>
      </c>
    </row>
    <row r="7" ht="42" customHeight="1">
      <c r="A7" s="24" t="inlineStr">
        <is>
          <t>AU-006</t>
        </is>
      </c>
      <c r="B7" s="24" t="inlineStr">
        <is>
          <t>University of Melbourne</t>
        </is>
      </c>
      <c r="C7" s="24" t="inlineStr">
        <is>
          <t>Australia</t>
        </is>
      </c>
      <c r="D7" s="24" t="inlineStr">
        <is>
          <t>Bachelor of Music</t>
        </is>
      </c>
      <c r="E7" s="24" t="inlineStr">
        <is>
          <t>Bachelor</t>
        </is>
      </c>
      <c r="F7" s="24" t="inlineStr">
        <is>
          <t>https://study.unimelb.edu.au/find/courses/undergraduate/bachelor-of-music-performance/</t>
        </is>
      </c>
      <c r="G7" s="24" t="inlineStr">
        <is>
          <t>Go8 / Top Research</t>
        </is>
      </c>
      <c r="H7" s="24" t="inlineStr">
        <is>
          <t>English</t>
        </is>
      </c>
      <c r="I7" s="24" t="inlineStr">
        <is>
          <t>3</t>
        </is>
      </c>
      <c r="J7" s="25" t="inlineStr"/>
      <c r="K7" s="24" t="inlineStr">
        <is>
          <t>No entry score published - 'Range of criteria used for selection' (audition-based). Prerequisite: grade 4 in English or English B (SL or HL)</t>
        </is>
      </c>
      <c r="L7" s="24" t="inlineStr">
        <is>
          <t>No entry score published - selection is audition/talent-based; approved A/AS Level English subject required</t>
        </is>
      </c>
      <c r="M7" s="24" t="inlineStr">
        <is>
          <t>No cutoff published - selection is audition-based; English prerequisite; best-four average basis applies for the academic component</t>
        </is>
      </c>
      <c r="N7" s="24" t="inlineStr">
        <is>
          <t>No cutoff published - selection is audition-based; English prerequisite</t>
        </is>
      </c>
      <c r="O7" s="24" t="inlineStr">
        <is>
          <t>Talent-based selection via audition; academic prerequisites (English) must also be met</t>
        </is>
      </c>
      <c r="P7" s="24" t="inlineStr">
        <is>
          <t>IELTS 6.5 overall with no band less than 6.0 (course page header, international view)</t>
        </is>
      </c>
      <c r="Q7" s="24" t="inlineStr">
        <is>
          <t>Audition required ('Selection into the Bachelor of Music (Performance) is talent-based. Applicants are required to complete an audition.')</t>
        </is>
      </c>
      <c r="R7" s="24" t="inlineStr">
        <is>
          <t>Direct international applications close: mid-year intake 2026 (Semester 2/July) 31 May 2026; start-year intake 2027 (Semester 1/February-March) 30 November 2026; mid-year 2027 31 May 2027; audition/supplementary-task courses close earlier via VTAC (before September)</t>
        </is>
      </c>
      <c r="S7" s="24" t="inlineStr">
        <is>
          <t>AUD 39,936 - 44,213 indicative first year fee (2026) for Bachelor of Music (Performance)</t>
        </is>
      </c>
      <c r="T7" s="24" t="inlineStr">
        <is>
          <t>Melbourne International Undergraduate Scholarship and Melbourne Chancellor's Scholarship (automatically considered on application); A.G. Whitlam International Undergraduate Merit Scholarship (Bangladesh, India, Sri Lanka, Vietnam); International Undergraduate Partner Scholarship</t>
        </is>
      </c>
      <c r="U7" s="24" t="inlineStr">
        <is>
          <t>Australian Student visa (subclass 500) after accepting offer and receiving CoE; OSHC compulsory; full-time enrolment in CRICOS-registered course required; Genuine Student requirement applies</t>
        </is>
      </c>
      <c r="V7" s="24" t="inlineStr">
        <is>
          <t>Direct online application via the University of Melbourne application portal for both intakes; VTAC for start-year intake if completing an Australian Year 12 (anywhere) or the IB in Australia/NZ; applicants from certain countries must apply through an authorised education agent. VTAC applications for degrees requiring auditions (incl. Music) close before September each year</t>
        </is>
      </c>
      <c r="W7" s="24" t="inlineStr">
        <is>
          <t>CRICOS 058837J (Performance stream). February (Semester 1) intake only; Southbank campus. The generic 'Bachelor of Music' URL in the source sheet is dead: Melbourne now lists separate stream degrees - Performance, Composition, Interactive Composition, Music Studies, Musicology &amp; Ethnomusicology; data here is for the Performance stream.</t>
        </is>
      </c>
      <c r="X7" s="24" t="inlineStr">
        <is>
          <t>Confirmed</t>
        </is>
      </c>
      <c r="Y7" s="24" t="inlineStr">
        <is>
          <t>Source course_url (bachelor-of-music) is dead - course restructured into stream-specific degrees; sheet IB 29 / CBSE 80%+ / ISC 73%+ / A-level 'BB+' have no published basis (no entry scores published - audition-based); sheet fee 42,000-48,000 vs published 39,936-44,213 (Performance); sheet intake 'May 31 deadline' not applicable as stated</t>
        </is>
      </c>
      <c r="Z7" s="24" t="inlineStr">
        <is>
          <t>https://study.unimelb.edu.au/find/courses/undergraduate/bachelor-of-music-performance/fees/</t>
        </is>
      </c>
      <c r="AA7" s="24" t="inlineStr">
        <is>
          <t>Selection into the Bachelor of Music (Performance) is talent-based. Applicants are required to complete an audition.</t>
        </is>
      </c>
      <c r="AB7" s="24" t="inlineStr">
        <is>
          <t>13 September 2026</t>
        </is>
      </c>
      <c r="AC7" s="24" t="inlineStr">
        <is>
          <t>yes</t>
        </is>
      </c>
      <c r="AD7" s="24" t="inlineStr">
        <is>
          <t>Pave verification, web-checked</t>
        </is>
      </c>
      <c r="AE7" s="24" t="inlineStr">
        <is>
          <t>Academic transcripts/certificates, evidence of English language proficiency, passport identity page; applicants who studied in certain countries must apply via an authorised agent for document verification; audition (performance stream)</t>
        </is>
      </c>
      <c r="AF7" s="24" t="inlineStr">
        <is>
          <t>Course-specific audition deadlines not centrally published on the pages checked 13 September 2026 - confirm with the Melbourne Conservatorium</t>
        </is>
      </c>
      <c r="AG7" s="24" t="inlineStr">
        <is>
          <t>2026</t>
        </is>
      </c>
      <c r="AH7" s="24" t="inlineStr">
        <is>
          <t>AUD 154 non-refundable per direct international application (exemptions apply, e.g. sponsored applicants)</t>
        </is>
      </c>
      <c r="AI7" s="25" t="inlineStr"/>
      <c r="AJ7" s="24" t="inlineStr">
        <is>
          <t>No cutoff published - selection is audition-based; English prerequisite; best-four average basis applies for the academic component | ISC: No cutoff published - selection is audition-based; English prerequisite</t>
        </is>
      </c>
    </row>
    <row r="8" ht="42" customHeight="1">
      <c r="A8" s="24" t="inlineStr">
        <is>
          <t>AU-007</t>
        </is>
      </c>
      <c r="B8" s="24" t="inlineStr">
        <is>
          <t>University of Sydney</t>
        </is>
      </c>
      <c r="C8" s="24" t="inlineStr">
        <is>
          <t>Australia</t>
        </is>
      </c>
      <c r="D8" s="24" t="inlineStr">
        <is>
          <t>Bachelor of Commerce</t>
        </is>
      </c>
      <c r="E8" s="24" t="inlineStr">
        <is>
          <t>Bachelor</t>
        </is>
      </c>
      <c r="F8" s="24" t="inlineStr">
        <is>
          <t>https://www.sydney.edu.au/courses/courses/uc/bachelor-of-commerce.html</t>
        </is>
      </c>
      <c r="G8" s="24" t="inlineStr">
        <is>
          <t>Go8 / Top Research</t>
        </is>
      </c>
      <c r="H8" s="24" t="inlineStr">
        <is>
          <t>English</t>
        </is>
      </c>
      <c r="I8" s="24" t="inlineStr">
        <is>
          <t>3</t>
        </is>
      </c>
      <c r="J8" s="24" t="inlineStr">
        <is>
          <t>Indian State Board Higher Secondary School Certificate: 95 (2026); ATAR equivalent 96.0</t>
        </is>
      </c>
      <c r="K8" s="24" t="inlineStr">
        <is>
          <t>38 (2026 indicative entry score, international; 'All scores listed are a guide for admission and subject to change')</t>
        </is>
      </c>
      <c r="L8" s="24" t="inlineStr">
        <is>
          <t>17 points from best 3 A2 subjects / 19 from best 4. A-level aggregate from A2 subjects, A*=6 A=5 B=4 C=3 D=2 E=1; first figure = 3 subjects, second = 4 subjects (AS not counted)</t>
        </is>
      </c>
      <c r="M8" s="24" t="inlineStr">
        <is>
          <t>19.0 aggregate (2026 indicative entry score). CBSE aggregate basis: English or Hindi plus best four remaining externally examined subjects, graded A1=4, A2=3.5, B1=3, B2=2.5, C1=2, C2=1.5, D1=1, D2=0.5 (max 20; five A1s with 96+ exam average deemed 21)</t>
        </is>
      </c>
      <c r="N8" s="24" t="inlineStr">
        <is>
          <t>94 (2026 indicative entry score). ISC basis: average of the best four subjects including English</t>
        </is>
      </c>
      <c r="O8" s="24" t="inlineStr">
        <is>
          <t>Rank-based admission on qualification entry score; scholarship rounds have separate deadlines</t>
        </is>
      </c>
      <c r="P8" s="24" t="inlineStr">
        <is>
          <t>IELTS: 'A minimum result of 7.0 overall and a minimum result of 6.0 in each band' (course-specific); TOEFL iBT 96 overall (R/L/S 17, W 19)</t>
        </is>
      </c>
      <c r="Q8" s="24" t="inlineStr">
        <is>
          <t>None. No prerequisites; assumed knowledge: Mathematics Standard or higher depending on majors</t>
        </is>
      </c>
      <c r="R8" s="24" t="inlineStr">
        <is>
          <t>International direct applications close 1 December of the year prior to commencement for Semester 1 (February) and 29 May of the commencing year for Semester 2 (August)</t>
        </is>
      </c>
      <c r="S8" s="25" t="inlineStr">
        <is>
          <t>A$56,300 international tuition fee for 2026 (first-year estimate, 48 credit points)</t>
        </is>
      </c>
      <c r="T8" s="24" t="inlineStr">
        <is>
          <t>Vice-Chancellor's International Scholarships Scheme (merit-based, assessed from the admission application); Sydney International Student Award</t>
        </is>
      </c>
      <c r="U8" s="24" t="inlineStr">
        <is>
          <t>Australian Student visa (subclass 500) after acceptance and CoE; OSHC required; available to student visa holders (course pages state 'Available to student visa holders')</t>
        </is>
      </c>
      <c r="V8" s="24" t="inlineStr">
        <is>
          <t>Three ways: apply directly to the University (online), via an authorised agent, or via UAC - UAC is mandatory if completing an Australian Year 12 (anywhere) or the IB in Australia</t>
        </is>
      </c>
      <c r="W8" s="24" t="inlineStr">
        <is>
          <t>CRICOS 012849G. Intakes: Semester 1 (February) and Semester 2 (August). 144 credit points. Business School triple accredited.</t>
        </is>
      </c>
      <c r="X8" s="24" t="inlineStr">
        <is>
          <t>Confirmed</t>
        </is>
      </c>
      <c r="Y8" s="24" t="inlineStr">
        <is>
          <t>Sheet IELTS 6.5/6.0 vs published 7.0 overall/6.0 bands; sheet fee 50,000 vs published 56,300; sheet CBSE '88%+' uses wrong metric (Sydney publishes a 20-point grade aggregate: 19.0); sheet ISC 80%+ vs 94; sheet deadline 'May 15' vs published 1 Dec (S1)/29 May (S2); sheet IB band 34-38: published figure is 38</t>
        </is>
      </c>
      <c r="Z8" s="24" t="inlineStr">
        <is>
          <t>https://www.sydney.edu.au/courses/courses/uc/bachelor-of-commerce.html</t>
        </is>
      </c>
      <c r="AA8" s="24" t="inlineStr">
        <is>
          <t>IELTS score: A minimum result of 7.0 overall and a minimum result of 6.0 in each band; International Full Fee Paying Rate $56,300 (2026)</t>
        </is>
      </c>
      <c r="AB8" s="24" t="inlineStr">
        <is>
          <t>13 September 2026</t>
        </is>
      </c>
      <c r="AC8" s="24" t="inlineStr">
        <is>
          <t>yes</t>
        </is>
      </c>
      <c r="AD8" s="24" t="inlineStr">
        <is>
          <t>Pave verification, web-checked</t>
        </is>
      </c>
      <c r="AE8" s="24" t="inlineStr">
        <is>
          <t>Academic transcripts and completion certificates, English test evidence, passport; supplementary evidence via UAC where applicable</t>
        </is>
      </c>
      <c r="AF8" s="24" t="inlineStr">
        <is>
          <t>Standing university-wide closing dates published (sydney.edu.au/study/applying/application-dates.html), checked 13 September 2026; for 2027 Semester 1 that means 1 December 2026</t>
        </is>
      </c>
      <c r="AG8" s="24" t="inlineStr">
        <is>
          <t>2026</t>
        </is>
      </c>
      <c r="AH8" s="24" t="inlineStr">
        <is>
          <t>A$150.00 non-refundable application processing fee (covers all applications made within one year); exemptions incl. full scholarship/sponsorship holders</t>
        </is>
      </c>
      <c r="AI8" s="25" t="inlineStr">
        <is>
          <t>2026-12-01</t>
        </is>
      </c>
      <c r="AJ8" s="24" t="inlineStr">
        <is>
          <t>19.0 aggregate (2026 indicative entry score). CBSE aggregate basis: English or Hindi plus best four remaining externally examined subjects, graded A1=4, A2=3.5, B1=3, B2=2.5, C1=2, C2=1.5, D1=1, D2=0.5 (max 20; five A1s with 96+ exam average deemed 21) | ISC: 94 (2026 indicative entry score). ISC basis: average of the best four subjects including English</t>
        </is>
      </c>
    </row>
    <row r="9" ht="42" customHeight="1">
      <c r="A9" s="24" t="inlineStr">
        <is>
          <t>AU-008</t>
        </is>
      </c>
      <c r="B9" s="24" t="inlineStr">
        <is>
          <t>University of Sydney</t>
        </is>
      </c>
      <c r="C9" s="24" t="inlineStr">
        <is>
          <t>Australia</t>
        </is>
      </c>
      <c r="D9" s="24" t="inlineStr">
        <is>
          <t>Bachelor of Science</t>
        </is>
      </c>
      <c r="E9" s="24" t="inlineStr">
        <is>
          <t>Bachelor</t>
        </is>
      </c>
      <c r="F9" s="24" t="inlineStr">
        <is>
          <t>https://www.sydney.edu.au/courses/courses/uc/bachelor-of-science.html</t>
        </is>
      </c>
      <c r="G9" s="24" t="inlineStr">
        <is>
          <t>Go8 / Top Research</t>
        </is>
      </c>
      <c r="H9" s="24" t="inlineStr">
        <is>
          <t>English</t>
        </is>
      </c>
      <c r="I9" s="24" t="inlineStr">
        <is>
          <t>3</t>
        </is>
      </c>
      <c r="J9" s="24" t="inlineStr">
        <is>
          <t>ATAR equivalent 80.0</t>
        </is>
      </c>
      <c r="K9" s="24" t="inlineStr">
        <is>
          <t>29 (2026 indicative entry score, international)</t>
        </is>
      </c>
      <c r="L9" s="24" t="inlineStr">
        <is>
          <t>13 points from best 3 A2 subjects / 13 from best 4. A-level aggregate from A2 subjects, A*=6 A=5 B=4 C=3 D=2 E=1; first figure = 3 subjects, second = 4 subjects (AS not counted)</t>
        </is>
      </c>
      <c r="M9" s="24" t="inlineStr">
        <is>
          <t>14.0 aggregate (2026 indicative entry score). CBSE aggregate basis: English or Hindi plus best four remaining externally examined subjects, graded A1=4, A2=3.5, B1=3, B2=2.5, C1=2, C2=1.5, D1=1, D2=0.5 (max 20; five A1s with 96+ exam average deemed 21)</t>
        </is>
      </c>
      <c r="N9" s="24" t="inlineStr">
        <is>
          <t>84 (2026 indicative entry score). ISC basis: average of the best four subjects including English</t>
        </is>
      </c>
      <c r="O9" s="24" t="inlineStr">
        <is>
          <t>Rank-based admission on qualification entry score</t>
        </is>
      </c>
      <c r="P9" s="24" t="inlineStr">
        <is>
          <t>IELTS: 'A minimum result of 6.5 overall and a minimum result of 6.0 in each band'</t>
        </is>
      </c>
      <c r="Q9" s="24" t="inlineStr">
        <is>
          <t>None. No prerequisites; assumed knowledge: Mathematics Advanced</t>
        </is>
      </c>
      <c r="R9" s="24" t="inlineStr">
        <is>
          <t>International direct applications close 1 December of the year prior to commencement for Semester 1 (February) and 29 May of the commencing year for Semester 2 (August)</t>
        </is>
      </c>
      <c r="S9" s="25" t="inlineStr">
        <is>
          <t>A$60,600 international tuition fee for 2026 (first-year estimate)</t>
        </is>
      </c>
      <c r="T9" s="24" t="inlineStr">
        <is>
          <t>Vice-Chancellor's International Scholarships Scheme (merit-based, assessed from the admission application); Sydney International Student Award</t>
        </is>
      </c>
      <c r="U9" s="24" t="inlineStr">
        <is>
          <t>Australian Student visa (subclass 500) after acceptance and CoE; OSHC required; available to student visa holders (course pages state 'Available to student visa holders')</t>
        </is>
      </c>
      <c r="V9" s="24" t="inlineStr">
        <is>
          <t>Three ways: apply directly to the University (online), via an authorised agent, or via UAC - UAC is mandatory if completing an Australian Year 12 (anywhere) or the IB in Australia</t>
        </is>
      </c>
      <c r="W9" s="24" t="inlineStr">
        <is>
          <t>CRICOS 000719E. Intakes: Semester 1 (February) and Semester 2 (August). 144 credit points.</t>
        </is>
      </c>
      <c r="X9" s="24" t="inlineStr">
        <is>
          <t>Confirmed</t>
        </is>
      </c>
      <c r="Y9" s="24" t="inlineStr">
        <is>
          <t>Sheet IB 32-36 vs published 29; sheet fee 49,000 vs 60,600; sheet CBSE '85%+' wrong metric (published 14.0/20 aggregate); sheet ISC 78%+ vs 84; sheet ATAR ~85 vs published 80.0; sheet deadline 15 May wrong</t>
        </is>
      </c>
      <c r="Z9" s="24" t="inlineStr">
        <is>
          <t>https://www.sydney.edu.au/courses/courses/uc/bachelor-of-science.html</t>
        </is>
      </c>
      <c r="AA9" s="24" t="inlineStr">
        <is>
          <t>IELTS score: A minimum result of 6.5 overall and a minimum result of 6.0 in each band; International Full Fee Paying Rate $60,600 (2026)</t>
        </is>
      </c>
      <c r="AB9" s="24" t="inlineStr">
        <is>
          <t>13 September 2026</t>
        </is>
      </c>
      <c r="AC9" s="24" t="inlineStr">
        <is>
          <t>yes</t>
        </is>
      </c>
      <c r="AD9" s="24" t="inlineStr">
        <is>
          <t>Pave verification, web-checked</t>
        </is>
      </c>
      <c r="AE9" s="24" t="inlineStr">
        <is>
          <t>Academic transcripts and completion certificates, English test evidence, passport; supplementary evidence via UAC where applicable</t>
        </is>
      </c>
      <c r="AF9" s="24" t="inlineStr">
        <is>
          <t>Standing university-wide closing dates published (sydney.edu.au/study/applying/application-dates.html), checked 13 September 2026; for 2027 Semester 1 that means 1 December 2026</t>
        </is>
      </c>
      <c r="AG9" s="24" t="inlineStr">
        <is>
          <t>2026</t>
        </is>
      </c>
      <c r="AH9" s="24" t="inlineStr">
        <is>
          <t>A$150.00 non-refundable application processing fee (covers all applications made within one year); exemptions incl. full scholarship/sponsorship holders</t>
        </is>
      </c>
      <c r="AI9" s="25" t="inlineStr">
        <is>
          <t>2026-12-01</t>
        </is>
      </c>
      <c r="AJ9" s="24" t="inlineStr">
        <is>
          <t>14.0 aggregate (2026 indicative entry score). CBSE aggregate basis: English or Hindi plus best four remaining externally examined subjects, graded A1=4, A2=3.5, B1=3, B2=2.5, C1=2, C2=1.5, D1=1, D2=0.5 (max 20; five A1s with 96+ exam average deemed 21) | ISC: 84 (2026 indicative entry score). ISC basis: average of the best four subjects including English</t>
        </is>
      </c>
    </row>
    <row r="10" ht="42" customHeight="1">
      <c r="A10" s="24" t="inlineStr">
        <is>
          <t>AU-009</t>
        </is>
      </c>
      <c r="B10" s="24" t="inlineStr">
        <is>
          <t>University of Sydney</t>
        </is>
      </c>
      <c r="C10" s="24" t="inlineStr">
        <is>
          <t>Australia</t>
        </is>
      </c>
      <c r="D10" s="24" t="inlineStr">
        <is>
          <t>Bachelor of Arts</t>
        </is>
      </c>
      <c r="E10" s="24" t="inlineStr">
        <is>
          <t>Bachelor</t>
        </is>
      </c>
      <c r="F10" s="24" t="inlineStr">
        <is>
          <t>https://www.sydney.edu.au/courses/courses/uc/bachelor-of-arts.html</t>
        </is>
      </c>
      <c r="G10" s="24" t="inlineStr">
        <is>
          <t>Go8 / Top Research</t>
        </is>
      </c>
      <c r="H10" s="24" t="inlineStr">
        <is>
          <t>English</t>
        </is>
      </c>
      <c r="I10" s="24" t="inlineStr">
        <is>
          <t>3</t>
        </is>
      </c>
      <c r="J10" s="24" t="inlineStr">
        <is>
          <t>ATAR equivalent 75.0</t>
        </is>
      </c>
      <c r="K10" s="24" t="inlineStr">
        <is>
          <t>26 (2026 indicative entry score, international)</t>
        </is>
      </c>
      <c r="L10" s="24" t="inlineStr">
        <is>
          <t>12 points from best 3 A2 subjects / 12 from best 4. A-level aggregate from A2 subjects, A*=6 A=5 B=4 C=3 D=2 E=1; first figure = 3 subjects, second = 4 subjects (AS not counted)</t>
        </is>
      </c>
      <c r="M10" s="24" t="inlineStr">
        <is>
          <t>12.5 aggregate (2026 indicative entry score). CBSE aggregate basis: English or Hindi plus best four remaining externally examined subjects, graded A1=4, A2=3.5, B1=3, B2=2.5, C1=2, C2=1.5, D1=1, D2=0.5 (max 20; five A1s with 96+ exam average deemed 21)</t>
        </is>
      </c>
      <c r="N10" s="24" t="inlineStr">
        <is>
          <t>81 (2026 indicative entry score). ISC basis: average of the best four subjects including English</t>
        </is>
      </c>
      <c r="O10" s="24" t="inlineStr">
        <is>
          <t>Rank-based admission on qualification entry score</t>
        </is>
      </c>
      <c r="P10" s="24" t="inlineStr">
        <is>
          <t>IELTS: 'A minimum result of 6.5 overall and a minimum result of 6.0 in each band'</t>
        </is>
      </c>
      <c r="Q10" s="24" t="inlineStr">
        <is>
          <t>None. No prerequisites; assumed knowledge depends on majors chosen</t>
        </is>
      </c>
      <c r="R10" s="24" t="inlineStr">
        <is>
          <t>International direct applications close 1 December of the year prior to commencement for Semester 1 (February) and 29 May of the commencing year for Semester 2 (August)</t>
        </is>
      </c>
      <c r="S10" s="25" t="inlineStr">
        <is>
          <t>A$52,500 international tuition fee for 2026 (first-year estimate)</t>
        </is>
      </c>
      <c r="T10" s="24" t="inlineStr">
        <is>
          <t>Vice-Chancellor's International Scholarships Scheme (merit-based, assessed from the admission application); Sydney International Student Award</t>
        </is>
      </c>
      <c r="U10" s="24" t="inlineStr">
        <is>
          <t>Australian Student visa (subclass 500) after acceptance and CoE; OSHC required; available to student visa holders (course pages state 'Available to student visa holders')</t>
        </is>
      </c>
      <c r="V10" s="24" t="inlineStr">
        <is>
          <t>Three ways: apply directly to the University (online), via an authorised agent, or via UAC - UAC is mandatory if completing an Australian Year 12 (anywhere) or the IB in Australia</t>
        </is>
      </c>
      <c r="W10" s="24" t="inlineStr">
        <is>
          <t>CRICOS 000705M. Intakes: Semester 1 (February) and Semester 2 (August). 144 credit points, 40+ majors.</t>
        </is>
      </c>
      <c r="X10" s="24" t="inlineStr">
        <is>
          <t>Confirmed</t>
        </is>
      </c>
      <c r="Y10" s="24" t="inlineStr">
        <is>
          <t>Sheet IB 29-33 vs published 26; sheet fee 45,000 vs 52,500; sheet CBSE '82%+' wrong metric (published 12.5/20 aggregate); sheet ISC 75%+ vs 81; sheet deadline 15 May wrong</t>
        </is>
      </c>
      <c r="Z10" s="24" t="inlineStr">
        <is>
          <t>https://www.sydney.edu.au/courses/courses/uc/bachelor-of-arts.html</t>
        </is>
      </c>
      <c r="AA10" s="24" t="inlineStr">
        <is>
          <t>IELTS score: A minimum result of 6.5 overall and a minimum result of 6.0 in each band; International Full Fee Paying Rate $52,500 (2026)</t>
        </is>
      </c>
      <c r="AB10" s="24" t="inlineStr">
        <is>
          <t>13 September 2026</t>
        </is>
      </c>
      <c r="AC10" s="24" t="inlineStr">
        <is>
          <t>yes</t>
        </is>
      </c>
      <c r="AD10" s="24" t="inlineStr">
        <is>
          <t>Pave verification, web-checked</t>
        </is>
      </c>
      <c r="AE10" s="24" t="inlineStr">
        <is>
          <t>Academic transcripts and completion certificates, English test evidence, passport; supplementary evidence via UAC where applicable</t>
        </is>
      </c>
      <c r="AF10" s="24" t="inlineStr">
        <is>
          <t>Standing university-wide closing dates published (sydney.edu.au/study/applying/application-dates.html), checked 13 September 2026; for 2027 Semester 1 that means 1 December 2026</t>
        </is>
      </c>
      <c r="AG10" s="24" t="inlineStr">
        <is>
          <t>2026</t>
        </is>
      </c>
      <c r="AH10" s="24" t="inlineStr">
        <is>
          <t>A$150.00 non-refundable application processing fee (covers all applications made within one year); exemptions incl. full scholarship/sponsorship holders</t>
        </is>
      </c>
      <c r="AI10" s="25" t="inlineStr">
        <is>
          <t>2026-12-01</t>
        </is>
      </c>
      <c r="AJ10" s="24" t="inlineStr">
        <is>
          <t>12.5 aggregate (2026 indicative entry score). CBSE aggregate basis: English or Hindi plus best four remaining externally examined subjects, graded A1=4, A2=3.5, B1=3, B2=2.5, C1=2, C2=1.5, D1=1, D2=0.5 (max 20; five A1s with 96+ exam average deemed 21) | ISC: 81 (2026 indicative entry score). ISC basis: average of the best four subjects including English</t>
        </is>
      </c>
    </row>
    <row r="11" ht="42" customHeight="1">
      <c r="A11" s="24" t="inlineStr">
        <is>
          <t>AU-010</t>
        </is>
      </c>
      <c r="B11" s="24" t="inlineStr">
        <is>
          <t>University of Sydney</t>
        </is>
      </c>
      <c r="C11" s="24" t="inlineStr">
        <is>
          <t>Australia</t>
        </is>
      </c>
      <c r="D11" s="24" t="inlineStr">
        <is>
          <t>Bachelor of Engineering (Honours)</t>
        </is>
      </c>
      <c r="E11" s="24" t="inlineStr">
        <is>
          <t>Bachelor</t>
        </is>
      </c>
      <c r="F11" s="24" t="inlineStr">
        <is>
          <t>https://www.sydney.edu.au/courses/courses/uc/bachelor-of-engineering-honours-flexible-first-year.html</t>
        </is>
      </c>
      <c r="G11" s="24" t="inlineStr">
        <is>
          <t>Go8 / Top Research</t>
        </is>
      </c>
      <c r="H11" s="24" t="inlineStr">
        <is>
          <t>English</t>
        </is>
      </c>
      <c r="I11" s="24" t="inlineStr">
        <is>
          <t>4</t>
        </is>
      </c>
      <c r="J11" s="24" t="inlineStr">
        <is>
          <t>ATAR equivalent 85.0. Mathematics prerequisite applies; assumed knowledge Mathematics Extension 1, Chemistry, Physics</t>
        </is>
      </c>
      <c r="K11" s="24" t="inlineStr">
        <is>
          <t>31 (2026 indicative entry score, international; Flexible First Year stream)</t>
        </is>
      </c>
      <c r="L11" s="24" t="inlineStr">
        <is>
          <t>14 points from best 3 A2 subjects / 14 from best 4. A-level aggregate from A2 subjects, A*=6 A=5 B=4 C=3 D=2 E=1; first figure = 3 subjects, second = 4 subjects (AS not counted)</t>
        </is>
      </c>
      <c r="M11" s="24" t="inlineStr">
        <is>
          <t>15.5 aggregate (2026 indicative entry score). CBSE aggregate basis: English or Hindi plus best four remaining externally examined subjects, graded A1=4, A2=3.5, B1=3, B2=2.5, C1=2, C2=1.5, D1=1, D2=0.5 (max 20; five A1s with 96+ exam average deemed 21)</t>
        </is>
      </c>
      <c r="N11" s="24" t="inlineStr">
        <is>
          <t>87 (2026 indicative entry score). ISC basis: average of the best four subjects including English</t>
        </is>
      </c>
      <c r="O11" s="24" t="inlineStr">
        <is>
          <t>Rank-based; maths prerequisite enforced</t>
        </is>
      </c>
      <c r="P11" s="24" t="inlineStr">
        <is>
          <t>IELTS: 'A minimum result of 6.5 overall and a minimum result of 6.0 in each band'</t>
        </is>
      </c>
      <c r="Q11" s="24" t="inlineStr">
        <is>
          <t>None; Mathematics prerequisite must be satisfied</t>
        </is>
      </c>
      <c r="R11" s="24" t="inlineStr">
        <is>
          <t>Semester 1 (February) intake only for this course; international direct applications close 1 December of the prior year</t>
        </is>
      </c>
      <c r="S11" s="25" t="inlineStr">
        <is>
          <t>A$60,600 international tuition fee for 2026 (first-year estimate)</t>
        </is>
      </c>
      <c r="T11" s="24" t="inlineStr">
        <is>
          <t>Vice-Chancellor's International Scholarships Scheme (merit-based, assessed from the admission application); Sydney International Student Award</t>
        </is>
      </c>
      <c r="U11" s="24" t="inlineStr">
        <is>
          <t>Australian Student visa (subclass 500) after acceptance and CoE; OSHC required; available to student visa holders (course pages state 'Available to student visa holders')</t>
        </is>
      </c>
      <c r="V11" s="24" t="inlineStr">
        <is>
          <t>Three ways: apply directly to the University (online), via an authorised agent, or via UAC - UAC is mandatory if completing an Australian Year 12 (anywhere) or the IB in Australia</t>
        </is>
      </c>
      <c r="W11" s="24" t="inlineStr">
        <is>
          <t>CRICOS 083109M (Flexible First Year). 192 credit points, Semester 1 intake only. The source sheet's generic BE(Hons) URL is dead - Sydney lists per-stream pages (Civil, Electrical, Mechanical, Software etc.); Flexible First Year page used as the generic entry route.</t>
        </is>
      </c>
      <c r="X11" s="24" t="inlineStr">
        <is>
          <t>Confirmed</t>
        </is>
      </c>
      <c r="Y11" s="24" t="inlineStr">
        <is>
          <t>Source course_url dead (404) - course split into stream pages; sheet IB 37-40 vs published 31 (FFY); sheet CBSE '90%+' wrong metric (published 15.5/20); sheet ISC 85%+ vs 87; sheet fee 50,000 vs 60,600; sheet ATAR ~95 vs 85.0; sheet deadline 15 May wrong; Semester 2 entry not offered</t>
        </is>
      </c>
      <c r="Z11" s="24" t="inlineStr">
        <is>
          <t>https://www.sydney.edu.au/courses/courses/uc/bachelor-of-engineering-honours-flexible-first-year.html</t>
        </is>
      </c>
      <c r="AA11" s="24" t="inlineStr">
        <is>
          <t>This course has a Mathematics prerequisite. [...] Assumed knowledge: Mathematics Extension 1, Chemistry, Physics; International Full Fee Paying Rate $60,600 (2026)</t>
        </is>
      </c>
      <c r="AB11" s="24" t="inlineStr">
        <is>
          <t>13 September 2026</t>
        </is>
      </c>
      <c r="AC11" s="24" t="inlineStr">
        <is>
          <t>yes</t>
        </is>
      </c>
      <c r="AD11" s="24" t="inlineStr">
        <is>
          <t>Pave verification, web-checked</t>
        </is>
      </c>
      <c r="AE11" s="24" t="inlineStr">
        <is>
          <t>Academic transcripts and completion certificates, English test evidence, passport; supplementary evidence via UAC where applicable</t>
        </is>
      </c>
      <c r="AF11" s="24" t="inlineStr">
        <is>
          <t>Standing university-wide closing dates published (sydney.edu.au/study/applying/application-dates.html), checked 13 September 2026; for 2027 Semester 1 that means 1 December 2026</t>
        </is>
      </c>
      <c r="AG11" s="24" t="inlineStr">
        <is>
          <t>2026</t>
        </is>
      </c>
      <c r="AH11" s="24" t="inlineStr">
        <is>
          <t>A$150.00 non-refundable application processing fee (covers all applications made within one year); exemptions incl. full scholarship/sponsorship holders</t>
        </is>
      </c>
      <c r="AI11" s="25" t="inlineStr">
        <is>
          <t>2026-12-01</t>
        </is>
      </c>
      <c r="AJ11" s="24" t="inlineStr">
        <is>
          <t>15.5 aggregate (2026 indicative entry score). CBSE aggregate basis: English or Hindi plus best four remaining externally examined subjects, graded A1=4, A2=3.5, B1=3, B2=2.5, C1=2, C2=1.5, D1=1, D2=0.5 (max 20; five A1s with 96+ exam average deemed 21) | ISC: 87 (2026 indicative entry score). ISC basis: average of the best four subjects including English</t>
        </is>
      </c>
    </row>
    <row r="12" ht="42" customHeight="1">
      <c r="A12" s="24" t="inlineStr">
        <is>
          <t>AU-011</t>
        </is>
      </c>
      <c r="B12" s="24" t="inlineStr">
        <is>
          <t>University of Sydney</t>
        </is>
      </c>
      <c r="C12" s="24" t="inlineStr">
        <is>
          <t>Australia</t>
        </is>
      </c>
      <c r="D12" s="24" t="inlineStr">
        <is>
          <t>Bachelor of Laws (LLB)</t>
        </is>
      </c>
      <c r="E12" s="24" t="inlineStr">
        <is>
          <t>Bachelor</t>
        </is>
      </c>
      <c r="F12" s="24" t="inlineStr">
        <is>
          <t>https://www.sydney.edu.au/courses/courses/uc/bachelor-of-arts-and-bachelor-of-laws.html</t>
        </is>
      </c>
      <c r="G12" s="24" t="inlineStr">
        <is>
          <t>Go8 / Top Research</t>
        </is>
      </c>
      <c r="H12" s="24" t="inlineStr">
        <is>
          <t>English</t>
        </is>
      </c>
      <c r="I12" s="24" t="inlineStr">
        <is>
          <t>5</t>
        </is>
      </c>
      <c r="J12" s="24" t="inlineStr">
        <is>
          <t>ATAR equivalent 95.5. Assumed knowledge: English Advanced</t>
        </is>
      </c>
      <c r="K12" s="24" t="inlineStr">
        <is>
          <t>38 (2026 indicative entry score, international, BA/LLB combined)</t>
        </is>
      </c>
      <c r="L12" s="24" t="inlineStr">
        <is>
          <t>16 points from best 3 A2 subjects / 18 from best 4. A-level aggregate from A2 subjects, A*=6 A=5 B=4 C=3 D=2 E=1; first figure = 3 subjects, second = 4 subjects (AS not counted)</t>
        </is>
      </c>
      <c r="M12" s="24" t="inlineStr">
        <is>
          <t>18.5 aggregate (2026 indicative entry score). CBSE aggregate basis: English or Hindi plus best four remaining externally examined subjects, graded A1=4, A2=3.5, B1=3, B2=2.5, C1=2, C2=1.5, D1=1, D2=0.5 (max 20; five A1s with 96+ exam average deemed 21)</t>
        </is>
      </c>
      <c r="N12" s="24" t="inlineStr">
        <is>
          <t>94 (2026 indicative entry score). ISC basis: average of the best four subjects including English</t>
        </is>
      </c>
      <c r="O12" s="24" t="inlineStr">
        <is>
          <t>Rank-based on combined-degree entry score; no LLB-specific test</t>
        </is>
      </c>
      <c r="P12" s="24" t="inlineStr">
        <is>
          <t>IELTS: 'A minimum result of 7.5 overall and a minimum result of 7.0 in each band' (Law combined degrees)</t>
        </is>
      </c>
      <c r="Q12" s="24" t="inlineStr">
        <is>
          <t>None (Sydney does not use an admission test for undergraduate law)</t>
        </is>
      </c>
      <c r="R12" s="24" t="inlineStr">
        <is>
          <t>International direct applications close 1 December of the year prior to commencement for Semester 1 (February) and 29 May of the commencing year for Semester 2 (August)</t>
        </is>
      </c>
      <c r="S12" s="25" t="inlineStr">
        <is>
          <t>A$56,300 international tuition fee for 2026 (first-year estimate, BA/LLB)</t>
        </is>
      </c>
      <c r="T12" s="24" t="inlineStr">
        <is>
          <t>Vice-Chancellor's International Scholarships Scheme (merit-based, assessed from the admission application); Sydney International Student Award</t>
        </is>
      </c>
      <c r="U12" s="24" t="inlineStr">
        <is>
          <t>Australian Student visa (subclass 500) after acceptance and CoE; OSHC required; available to student visa holders (course pages state 'Available to student visa holders')</t>
        </is>
      </c>
      <c r="V12" s="24" t="inlineStr">
        <is>
          <t>Three ways: apply directly to the University (online), via an authorised agent, or via UAC - UAC is mandatory if completing an Australian Year 12 (anywhere) or the IB in Australia</t>
        </is>
      </c>
      <c r="W12" s="24" t="inlineStr">
        <is>
          <t>CRICOS 006441D (BA/LLB). Intakes: Semester 1 (February) and Semester 2 (August). Sydney does NOT offer a standalone 4-year undergraduate LLB - undergraduate law is a 5-year combined degree (Arts/Commerce/Science/etc. + LLB); BA/LLB used as reference combination.</t>
        </is>
      </c>
      <c r="X12" s="24" t="inlineStr">
        <is>
          <t>Confirmed</t>
        </is>
      </c>
      <c r="Y12" s="24" t="inlineStr">
        <is>
          <t>Sheet describes a 4-year direct-entry LLB that does not exist (dead URL; undergraduate law is 5-year combined only); sheet IB 41-45 vs published 38; sheet IELTS 7.0/6.5 vs published 7.5 overall/7.0 bands; sheet fee 52,000 vs 56,300; sheet CBSE 95%+ wrong metric (18.5/20); sheet ISC 92%+ vs 94</t>
        </is>
      </c>
      <c r="Z12" s="24" t="inlineStr">
        <is>
          <t>https://www.sydney.edu.au/courses/courses/uc/bachelor-of-arts-and-bachelor-of-laws.html</t>
        </is>
      </c>
      <c r="AA12" s="24" t="inlineStr">
        <is>
          <t>IELTS score: A minimum result of 7.5 overall and a minimum result of 7.0 in each band; DURATION 5 years full-time</t>
        </is>
      </c>
      <c r="AB12" s="24" t="inlineStr">
        <is>
          <t>13 September 2026</t>
        </is>
      </c>
      <c r="AC12" s="24" t="inlineStr">
        <is>
          <t>yes</t>
        </is>
      </c>
      <c r="AD12" s="24" t="inlineStr">
        <is>
          <t>Pave verification, web-checked</t>
        </is>
      </c>
      <c r="AE12" s="24" t="inlineStr">
        <is>
          <t>Academic transcripts and completion certificates, English test evidence, passport; supplementary evidence via UAC where applicable</t>
        </is>
      </c>
      <c r="AF12" s="24" t="inlineStr">
        <is>
          <t>Standing university-wide closing dates published (sydney.edu.au/study/applying/application-dates.html), checked 13 September 2026; for 2027 Semester 1 that means 1 December 2026</t>
        </is>
      </c>
      <c r="AG12" s="24" t="inlineStr">
        <is>
          <t>2026</t>
        </is>
      </c>
      <c r="AH12" s="24" t="inlineStr">
        <is>
          <t>A$150.00 non-refundable application processing fee (covers all applications made within one year); exemptions incl. full scholarship/sponsorship holders</t>
        </is>
      </c>
      <c r="AI12" s="25" t="inlineStr">
        <is>
          <t>2026-12-01</t>
        </is>
      </c>
      <c r="AJ12" s="24" t="inlineStr">
        <is>
          <t>18.5 aggregate (2026 indicative entry score). CBSE aggregate basis: English or Hindi plus best four remaining externally examined subjects, graded A1=4, A2=3.5, B1=3, B2=2.5, C1=2, C2=1.5, D1=1, D2=0.5 (max 20; five A1s with 96+ exam average deemed 21) | ISC: 94 (2026 indicative entry score). ISC basis: average of the best four subjects including English</t>
        </is>
      </c>
    </row>
    <row r="13" ht="42" customHeight="1">
      <c r="A13" s="24" t="inlineStr">
        <is>
          <t>AU-012</t>
        </is>
      </c>
      <c r="B13" s="24" t="inlineStr">
        <is>
          <t>University of Sydney</t>
        </is>
      </c>
      <c r="C13" s="24" t="inlineStr">
        <is>
          <t>Australia</t>
        </is>
      </c>
      <c r="D13" s="24" t="inlineStr">
        <is>
          <t>Bachelor of Psychology (Honours)</t>
        </is>
      </c>
      <c r="E13" s="24" t="inlineStr">
        <is>
          <t>Bachelor</t>
        </is>
      </c>
      <c r="F13" s="24" t="inlineStr">
        <is>
          <t>https://www.sydney.edu.au/courses/courses/uc/bachelor-of-psychology-honours.html</t>
        </is>
      </c>
      <c r="G13" s="24" t="inlineStr">
        <is>
          <t>Go8 / Top Research</t>
        </is>
      </c>
      <c r="H13" s="24" t="inlineStr">
        <is>
          <t>English</t>
        </is>
      </c>
      <c r="I13" s="24" t="inlineStr">
        <is>
          <t>4</t>
        </is>
      </c>
      <c r="J13" s="24" t="inlineStr">
        <is>
          <t>ATAR equivalent 91.0. Assumed knowledge: Mathematics Advanced</t>
        </is>
      </c>
      <c r="K13" s="24" t="inlineStr">
        <is>
          <t>34 (2026 indicative entry score, international)</t>
        </is>
      </c>
      <c r="L13" s="24" t="inlineStr">
        <is>
          <t>15 points from best 3 A2 subjects / 16 from best 4. A-level aggregate from A2 subjects, A*=6 A=5 B=4 C=3 D=2 E=1; first figure = 3 subjects, second = 4 subjects (AS not counted)</t>
        </is>
      </c>
      <c r="M13" s="24" t="inlineStr">
        <is>
          <t>17.5 aggregate (2026 indicative entry score). CBSE aggregate basis: English or Hindi plus best four remaining externally examined subjects, graded A1=4, A2=3.5, B1=3, B2=2.5, C1=2, C2=1.5, D1=1, D2=0.5 (max 20; five A1s with 96+ exam average deemed 21)</t>
        </is>
      </c>
      <c r="N13" s="24" t="inlineStr">
        <is>
          <t>91 (2026 indicative entry score). ISC basis: average of the best four subjects including English</t>
        </is>
      </c>
      <c r="O13" s="24" t="inlineStr">
        <is>
          <t>Rank-based admission on qualification entry score</t>
        </is>
      </c>
      <c r="P13" s="24" t="inlineStr">
        <is>
          <t>IELTS: 'A minimum result of 6.5 overall and a minimum result of 6.0 in each band'</t>
        </is>
      </c>
      <c r="Q13" s="24" t="inlineStr">
        <is>
          <t>None</t>
        </is>
      </c>
      <c r="R13" s="24" t="inlineStr">
        <is>
          <t>Semester 1 (February) intake only for this course; international direct applications close 1 December of the prior year</t>
        </is>
      </c>
      <c r="S13" s="25" t="inlineStr">
        <is>
          <t>A$60,600 international tuition fee for 2026 (first-year estimate)</t>
        </is>
      </c>
      <c r="T13" s="24" t="inlineStr">
        <is>
          <t>Vice-Chancellor's International Scholarships Scheme (merit-based, assessed from the admission application); Sydney International Student Award</t>
        </is>
      </c>
      <c r="U13" s="24" t="inlineStr">
        <is>
          <t>Australian Student visa (subclass 500) after acceptance and CoE; OSHC required; available to student visa holders (course pages state 'Available to student visa holders')</t>
        </is>
      </c>
      <c r="V13" s="24" t="inlineStr">
        <is>
          <t>Three ways: apply directly to the University (online), via an authorised agent, or via UAC - UAC is mandatory if completing an Australian Year 12 (anywhere) or the IB in Australia</t>
        </is>
      </c>
      <c r="W13" s="24" t="inlineStr">
        <is>
          <t>CRICOS 107970E. 192 credit points; APAC-accredited pathway to psychologist registration. Note a separate 3-year Bachelor of Psychology (CRICOS 107969J) also exists.</t>
        </is>
      </c>
      <c r="X13" s="24" t="inlineStr">
        <is>
          <t>Confirmed</t>
        </is>
      </c>
      <c r="Y13" s="24" t="inlineStr">
        <is>
          <t>Sheet fee 49,000 vs published 60,600; sheet CBSE '88%+' wrong metric (published 17.5/20); sheet ISC 80%+ vs 91; sheet deadline 15 May wrong; Semester 2 entry not offered; sheet IB lower bound 34 matches published 34</t>
        </is>
      </c>
      <c r="Z13" s="24" t="inlineStr">
        <is>
          <t>https://www.sydney.edu.au/courses/courses/uc/bachelor-of-psychology-honours.html</t>
        </is>
      </c>
      <c r="AA13" s="24" t="inlineStr">
        <is>
          <t>IELTS score: A minimum result of 6.5 overall and a minimum result of 6.0 in each band; International Full Fee Paying Rate $60,600 (2026)</t>
        </is>
      </c>
      <c r="AB13" s="24" t="inlineStr">
        <is>
          <t>13 September 2026</t>
        </is>
      </c>
      <c r="AC13" s="24" t="inlineStr">
        <is>
          <t>yes</t>
        </is>
      </c>
      <c r="AD13" s="24" t="inlineStr">
        <is>
          <t>Pave verification, web-checked</t>
        </is>
      </c>
      <c r="AE13" s="24" t="inlineStr">
        <is>
          <t>Academic transcripts and completion certificates, English test evidence, passport; supplementary evidence via UAC where applicable</t>
        </is>
      </c>
      <c r="AF13" s="24" t="inlineStr">
        <is>
          <t>Standing university-wide closing dates published (sydney.edu.au/study/applying/application-dates.html), checked 13 September 2026; for 2027 Semester 1 that means 1 December 2026</t>
        </is>
      </c>
      <c r="AG13" s="24" t="inlineStr">
        <is>
          <t>2026</t>
        </is>
      </c>
      <c r="AH13" s="24" t="inlineStr">
        <is>
          <t>A$150.00 non-refundable application processing fee (covers all applications made within one year); exemptions incl. full scholarship/sponsorship holders</t>
        </is>
      </c>
      <c r="AI13" s="25" t="inlineStr">
        <is>
          <t>2026-12-01</t>
        </is>
      </c>
      <c r="AJ13" s="24" t="inlineStr">
        <is>
          <t>17.5 aggregate (2026 indicative entry score). CBSE aggregate basis: English or Hindi plus best four remaining externally examined subjects, graded A1=4, A2=3.5, B1=3, B2=2.5, C1=2, C2=1.5, D1=1, D2=0.5 (max 20; five A1s with 96+ exam average deemed 21) | ISC: 91 (2026 indicative entry score). ISC basis: average of the best four subjects including English</t>
        </is>
      </c>
    </row>
    <row r="14" ht="42" customHeight="1">
      <c r="A14" s="24" t="inlineStr">
        <is>
          <t>AU-013</t>
        </is>
      </c>
      <c r="B14" s="24" t="inlineStr">
        <is>
          <t>UNSW Sydney</t>
        </is>
      </c>
      <c r="C14" s="24" t="inlineStr">
        <is>
          <t>Australia</t>
        </is>
      </c>
      <c r="D14" s="24" t="inlineStr">
        <is>
          <t>Bachelor of Commerce</t>
        </is>
      </c>
      <c r="E14" s="24" t="inlineStr">
        <is>
          <t>Bachelor</t>
        </is>
      </c>
      <c r="F14" s="24" t="inlineStr">
        <is>
          <t>https://www.unsw.edu.au/study/undergraduate/bachelor-of-commerce</t>
        </is>
      </c>
      <c r="G14" s="24" t="inlineStr">
        <is>
          <t>Go8 / Top Research</t>
        </is>
      </c>
      <c r="H14" s="24" t="inlineStr">
        <is>
          <t>English</t>
        </is>
      </c>
      <c r="I14" s="24" t="inlineStr">
        <is>
          <t>3</t>
        </is>
      </c>
      <c r="J14" s="24" t="inlineStr">
        <is>
          <t>India State Board 98.0 (Maharashtra, Karnataka, Tamil Nadu only); SAT 1300 (with completed senior secondary)</t>
        </is>
      </c>
      <c r="K14" s="24" t="inlineStr">
        <is>
          <t>36.0 international direct entry requirement (2026); for context the domestic 2026 lowest selection rank was 97.0 (IB guide 41.0)</t>
        </is>
      </c>
      <c r="L14" s="24" t="inlineStr">
        <is>
          <t>15.0 points international direct entry (2026). A-level basis: minimum two A2 subjects; score aggregated from best 2-4 A2 subjects, A*=6 A=5 B=4 C=3 D=2 E=1</t>
        </is>
      </c>
      <c r="M14" s="24" t="inlineStr">
        <is>
          <t>85.0 (2026 international direct entry). CBSE basis: average percentage across English or Hindi plus best four remaining subjects (range marks use mid-point)</t>
        </is>
      </c>
      <c r="N14" s="24" t="inlineStr">
        <is>
          <t>92.0 (2026 international direct entry, Indian School Certificate CISCE)</t>
        </is>
      </c>
      <c r="O14" s="24" t="inlineStr">
        <is>
          <t>Rank/score-based; International Admissions Diversity Pathway can add 5 points to International ATAR for eligible applicants</t>
        </is>
      </c>
      <c r="P14" s="24" t="inlineStr">
        <is>
          <t>IELTS 7.0 overall (min 6.0 in each subtest) - UNSW Business School requirement (standard UNSW UG is 6.5/6.0)</t>
        </is>
      </c>
      <c r="Q14" s="24" t="inlineStr">
        <is>
          <t>None. Assumed knowledge: Mathematics Advanced</t>
        </is>
      </c>
      <c r="R14" s="24" t="inlineStr">
        <is>
          <t>Rolling offer rounds. Published Term 1 2027 undergraduate international round deadlines: 14 May 2026, 16 July 2026, 20 August 2026, 24 September 2026 (completed-application deadlines per round); later rounds published progressively</t>
        </is>
      </c>
      <c r="S14" s="25" t="inlineStr">
        <is>
          <t>A$56,500 indicative first year fee 2026 (indicative full fee to complete degree $180,500)</t>
        </is>
      </c>
      <c r="T14" s="24" t="inlineStr">
        <is>
          <t>International Scientia Coursework Scholarship (full tuition or $20,000/year); UNSW International Student Award (20% tuition contribution, 500-word personal statement)</t>
        </is>
      </c>
      <c r="U14" s="24" t="inlineStr">
        <is>
          <t>Australian Student visa (subclass 500) after acceptance and CoE; OSHC required</t>
        </is>
      </c>
      <c r="V14" s="24" t="inlineStr">
        <is>
          <t>Direct via the UNSW Applicant Portal, via an authorised agent, or via UAC (UAC required if completing an Australian Year 12; IB students in Australia may use UAC or apply direct)</t>
        </is>
      </c>
      <c r="W14" s="24" t="inlineStr">
        <is>
          <t>CRICOS 001919M. Program 3502, UAC 424000. Commencing Terms 1, 2 &amp; 3 (Feb/May/Sep). 16 majors.</t>
        </is>
      </c>
      <c r="X14" s="24" t="inlineStr">
        <is>
          <t>Confirmed</t>
        </is>
      </c>
      <c r="Y14" s="24" t="inlineStr">
        <is>
          <t>Sheet IELTS 6.5/6.0 vs published Business School 7.0 overall/6.0; sheet CBSE 90%+ vs published 85.0; sheet ISC 85%+ vs 92.0; sheet fee 56,500 matches; sheet deadline '14 May' is only round 1 of the 2027 offer rounds</t>
        </is>
      </c>
      <c r="Z14" s="24" t="inlineStr">
        <is>
          <t>https://www.unsw.edu.au/study/undergraduate/bachelor-of-commerce</t>
        </is>
      </c>
      <c r="AA14" s="24" t="inlineStr">
        <is>
          <t>All India Senior School Certificate (CBSE) 85.0; Indian School Certificate (CISCE) 92.0; International Baccalaureate Diploma (IB) 36.0; 2026 Indicative First Year Fee $56,500*</t>
        </is>
      </c>
      <c r="AB14" s="24" t="inlineStr">
        <is>
          <t>13 September 2026</t>
        </is>
      </c>
      <c r="AC14" s="24" t="inlineStr">
        <is>
          <t>yes</t>
        </is>
      </c>
      <c r="AD14" s="24" t="inlineStr">
        <is>
          <t>Pave verification, web-checked</t>
        </is>
      </c>
      <c r="AE14" s="24" t="inlineStr">
        <is>
          <t>Academic transcripts/certificates, English evidence, passport; personal statement for some scholarships; submit via UNSW Applicant Portal</t>
        </is>
      </c>
      <c r="AF14" s="24" t="inlineStr">
        <is>
          <t>UNSW publishes per-round offer schedules rather than a single closing date (unsw.edu.au/study/international-students/admissions-info, checked 13 September 2026); final T1 2027 round not yet listed, so deadline_iso_close left blank</t>
        </is>
      </c>
      <c r="AG14" s="24" t="inlineStr">
        <is>
          <t>2026</t>
        </is>
      </c>
      <c r="AH14" s="24" t="inlineStr">
        <is>
          <t>A non-refundable application fee of $150 AUD may be payable via the UNSW Applicant Portal (credit card; some exclusions)</t>
        </is>
      </c>
      <c r="AI14" s="25" t="inlineStr"/>
      <c r="AJ14" s="24" t="inlineStr">
        <is>
          <t>85.0 (2026 international direct entry). CBSE basis: average percentage across English or Hindi plus best four remaining subjects (range marks use mid-point) | ISC: 92.0 (2026 international direct entry, Indian School Certificate CISCE)</t>
        </is>
      </c>
    </row>
    <row r="15" ht="42" customHeight="1">
      <c r="A15" s="24" t="inlineStr">
        <is>
          <t>AU-014</t>
        </is>
      </c>
      <c r="B15" s="24" t="inlineStr">
        <is>
          <t>UNSW Sydney</t>
        </is>
      </c>
      <c r="C15" s="24" t="inlineStr">
        <is>
          <t>Australia</t>
        </is>
      </c>
      <c r="D15" s="24" t="inlineStr">
        <is>
          <t>Bachelor of Engineering (Honours)</t>
        </is>
      </c>
      <c r="E15" s="24" t="inlineStr">
        <is>
          <t>Bachelor</t>
        </is>
      </c>
      <c r="F15" s="24" t="inlineStr">
        <is>
          <t>https://www.unsw.edu.au/study/undergraduate/bachelor-of-engineering-honours</t>
        </is>
      </c>
      <c r="G15" s="24" t="inlineStr">
        <is>
          <t>Go8 / Top Research</t>
        </is>
      </c>
      <c r="H15" s="24" t="inlineStr">
        <is>
          <t>English</t>
        </is>
      </c>
      <c r="I15" s="24" t="inlineStr">
        <is>
          <t>4</t>
        </is>
      </c>
      <c r="J15" s="24" t="inlineStr">
        <is>
          <t>India State Board 96.0 (MH/KA/TN only); SAT 1260</t>
        </is>
      </c>
      <c r="K15" s="24" t="inlineStr">
        <is>
          <t>35.0 international direct entry requirement (2026)</t>
        </is>
      </c>
      <c r="L15" s="24" t="inlineStr">
        <is>
          <t>13.0 points international direct entry (2026). A-level basis: minimum two A2 subjects; score aggregated from best 2-4 A2 subjects, A*=6 A=5 B=4 C=3 D=2 E=1</t>
        </is>
      </c>
      <c r="M15" s="24" t="inlineStr">
        <is>
          <t>81.0 (2026 international direct entry). CBSE basis: average percentage across English or Hindi plus best four remaining subjects (range marks use mid-point)</t>
        </is>
      </c>
      <c r="N15" s="24" t="inlineStr">
        <is>
          <t>90.0 (2026 international direct entry)</t>
        </is>
      </c>
      <c r="O15" s="24" t="inlineStr">
        <is>
          <t>Rank/score-based; flexible-entry then specialisation into streams (Civil, Mechanical, Electrical, Software, Chemical, Mining etc.)</t>
        </is>
      </c>
      <c r="P15" s="24" t="inlineStr">
        <is>
          <t>IELTS 6.5 overall (min 6.0 in each subtest) - standard UNSW requirement</t>
        </is>
      </c>
      <c r="Q15" s="24" t="inlineStr">
        <is>
          <t>None. Assumed knowledge: Mathematics Extension 1, Physics</t>
        </is>
      </c>
      <c r="R15" s="24" t="inlineStr">
        <is>
          <t>Rolling offer rounds. Published Term 1 2027 undergraduate international round deadlines: 14 May 2026, 16 July 2026, 20 August 2026, 24 September 2026 (completed-application deadlines per round); later rounds published progressively</t>
        </is>
      </c>
      <c r="S15" s="25" t="inlineStr">
        <is>
          <t>A$61,500 indicative first year fee 2026</t>
        </is>
      </c>
      <c r="T15" s="24" t="inlineStr">
        <is>
          <t>International Scientia Coursework Scholarship (full tuition or $20,000/year); UNSW International Student Award (20% tuition contribution, 500-word personal statement)</t>
        </is>
      </c>
      <c r="U15" s="24" t="inlineStr">
        <is>
          <t>Australian Student visa (subclass 500) after acceptance and CoE; OSHC required</t>
        </is>
      </c>
      <c r="V15" s="24" t="inlineStr">
        <is>
          <t>Direct via the UNSW Applicant Portal, via an authorised agent, or via UAC (UAC required if completing an Australian Year 12; IB students in Australia may use UAC or apply direct)</t>
        </is>
      </c>
      <c r="W15" s="24" t="inlineStr">
        <is>
          <t>CRICOS 056835E. UAC 425000. Commencing Terms 1, 2 &amp; 3.</t>
        </is>
      </c>
      <c r="X15" s="24" t="inlineStr">
        <is>
          <t>Confirmed</t>
        </is>
      </c>
      <c r="Y15" s="24" t="inlineStr">
        <is>
          <t>Sheet IB 38-42 vs published international direct entry 35.0; sheet CBSE 92%+ vs 81.0; sheet ISC 88%+ vs 90.0; sheet fee 58,000 vs 61,500; sheet deadline 14 May is only an offer-round date</t>
        </is>
      </c>
      <c r="Z15" s="24" t="inlineStr">
        <is>
          <t>https://www.unsw.edu.au/study/undergraduate/bachelor-of-engineering-honours</t>
        </is>
      </c>
      <c r="AA15" s="24" t="inlineStr">
        <is>
          <t>All India Senior School Certificate (CBSE) 81.0; International Baccalaureate Diploma (IB) 35.0; 2026 Indicative First Year Fee $61,500*</t>
        </is>
      </c>
      <c r="AB15" s="24" t="inlineStr">
        <is>
          <t>13 September 2026</t>
        </is>
      </c>
      <c r="AC15" s="24" t="inlineStr">
        <is>
          <t>yes</t>
        </is>
      </c>
      <c r="AD15" s="24" t="inlineStr">
        <is>
          <t>Pave verification, web-checked</t>
        </is>
      </c>
      <c r="AE15" s="24" t="inlineStr">
        <is>
          <t>Academic transcripts/certificates, English evidence, passport; personal statement for some scholarships; submit via UNSW Applicant Portal</t>
        </is>
      </c>
      <c r="AF15" s="24" t="inlineStr">
        <is>
          <t>UNSW publishes per-round offer schedules rather than a single closing date (unsw.edu.au/study/international-students/admissions-info, checked 13 September 2026); final T1 2027 round not yet listed, so deadline_iso_close left blank</t>
        </is>
      </c>
      <c r="AG15" s="24" t="inlineStr">
        <is>
          <t>2026</t>
        </is>
      </c>
      <c r="AH15" s="24" t="inlineStr">
        <is>
          <t>A non-refundable application fee of $150 AUD may be payable via the UNSW Applicant Portal (credit card; some exclusions)</t>
        </is>
      </c>
      <c r="AI15" s="25" t="inlineStr"/>
      <c r="AJ15" s="24" t="inlineStr">
        <is>
          <t>81.0 (2026 international direct entry). CBSE basis: average percentage across English or Hindi plus best four remaining subjects (range marks use mid-point) | ISC: 90.0 (2026 international direct entry)</t>
        </is>
      </c>
    </row>
    <row r="16" ht="42" customHeight="1">
      <c r="A16" s="24" t="inlineStr">
        <is>
          <t>AU-015</t>
        </is>
      </c>
      <c r="B16" s="24" t="inlineStr">
        <is>
          <t>UNSW Sydney</t>
        </is>
      </c>
      <c r="C16" s="24" t="inlineStr">
        <is>
          <t>Australia</t>
        </is>
      </c>
      <c r="D16" s="24" t="inlineStr">
        <is>
          <t>Bachelor of Computer Science</t>
        </is>
      </c>
      <c r="E16" s="24" t="inlineStr">
        <is>
          <t>Bachelor</t>
        </is>
      </c>
      <c r="F16" s="24" t="inlineStr">
        <is>
          <t>https://www.unsw.edu.au/study/undergraduate/bachelor-of-computer-science</t>
        </is>
      </c>
      <c r="G16" s="24" t="inlineStr">
        <is>
          <t>Go8 / Top Research</t>
        </is>
      </c>
      <c r="H16" s="24" t="inlineStr">
        <is>
          <t>English</t>
        </is>
      </c>
      <c r="I16" s="24" t="inlineStr">
        <is>
          <t>3</t>
        </is>
      </c>
      <c r="J16" s="24" t="inlineStr">
        <is>
          <t>India State Board 95.0 (MH/KA/TN only)</t>
        </is>
      </c>
      <c r="K16" s="24" t="inlineStr">
        <is>
          <t>34.0 international direct entry requirement (2026); domestic 2026 LSR 93.0 (IB guide 37.0)</t>
        </is>
      </c>
      <c r="L16" s="24" t="inlineStr">
        <is>
          <t>12.0 points international direct entry (2026). A-level basis: minimum two A2 subjects; score aggregated from best 2-4 A2 subjects, A*=6 A=5 B=4 C=3 D=2 E=1</t>
        </is>
      </c>
      <c r="M16" s="24" t="inlineStr">
        <is>
          <t>81.0 (2026 international direct entry). CBSE basis: average percentage across English or Hindi plus best four remaining subjects (range marks use mid-point)</t>
        </is>
      </c>
      <c r="N16" s="24" t="inlineStr">
        <is>
          <t>89.0 (2026 international direct entry)</t>
        </is>
      </c>
      <c r="O16" s="24" t="inlineStr">
        <is>
          <t>Rank/score-based</t>
        </is>
      </c>
      <c r="P16" s="24" t="inlineStr">
        <is>
          <t>IELTS 6.5 overall (min 6.0 in each subtest) - standard UNSW requirement</t>
        </is>
      </c>
      <c r="Q16" s="24" t="inlineStr">
        <is>
          <t>None. Assumed knowledge: Mathematics Extension 1</t>
        </is>
      </c>
      <c r="R16" s="24" t="inlineStr">
        <is>
          <t>Rolling offer rounds. Published Term 1 2027 undergraduate international round deadlines: 14 May 2026, 16 July 2026, 20 August 2026, 24 September 2026 (completed-application deadlines per round); later rounds published progressively</t>
        </is>
      </c>
      <c r="S16" s="25" t="inlineStr">
        <is>
          <t>A$61,000 indicative first year fee 2026</t>
        </is>
      </c>
      <c r="T16" s="24" t="inlineStr">
        <is>
          <t>International Scientia Coursework Scholarship (full tuition or $20,000/year); UNSW International Student Award (20% tuition contribution, 500-word personal statement)</t>
        </is>
      </c>
      <c r="U16" s="24" t="inlineStr">
        <is>
          <t>Australian Student visa (subclass 500) after acceptance and CoE; OSHC required</t>
        </is>
      </c>
      <c r="V16" s="24" t="inlineStr">
        <is>
          <t>Direct via the UNSW Applicant Portal, via an authorised agent, or via UAC (UAC required if completing an Australian Year 12; IB students in Australia may use UAC or apply direct)</t>
        </is>
      </c>
      <c r="W16" s="24" t="inlineStr">
        <is>
          <t>CRICOS 015784F. Official degree title on the page is 'Bachelor of Science (Computer Science)', program 3778, UAC 425800. Commencing Terms 1, 2 &amp; 3. (UNSW's separate flagship Bachelor of Computer Science program 3778 page carries this title.)</t>
        </is>
      </c>
      <c r="X16" s="24" t="inlineStr">
        <is>
          <t>Confirmed</t>
        </is>
      </c>
      <c r="Y16" s="24" t="inlineStr">
        <is>
          <t>Sheet IB 37-40 vs published international direct entry 34.0 (37 is the domestic LSR-derived guide); sheet CBSE 90%+ vs 81.0; sheet ISC 85%+ vs 89.0; sheet fee 56,000 vs 61,000; page titles the degree 'Bachelor of Science (Computer Science)'</t>
        </is>
      </c>
      <c r="Z16" s="24" t="inlineStr">
        <is>
          <t>https://www.unsw.edu.au/study/undergraduate/bachelor-of-computer-science</t>
        </is>
      </c>
      <c r="AA16" s="24" t="inlineStr">
        <is>
          <t>All India Senior School Certificate (CBSE) 81.0; International Baccalaureate Diploma (IB) 34.0; 2026 Indicative First Year Fee $61,000*</t>
        </is>
      </c>
      <c r="AB16" s="24" t="inlineStr">
        <is>
          <t>13 September 2026</t>
        </is>
      </c>
      <c r="AC16" s="24" t="inlineStr">
        <is>
          <t>yes</t>
        </is>
      </c>
      <c r="AD16" s="24" t="inlineStr">
        <is>
          <t>Pave verification, web-checked</t>
        </is>
      </c>
      <c r="AE16" s="24" t="inlineStr">
        <is>
          <t>Academic transcripts/certificates, English evidence, passport; personal statement for some scholarships; submit via UNSW Applicant Portal</t>
        </is>
      </c>
      <c r="AF16" s="24" t="inlineStr">
        <is>
          <t>UNSW publishes per-round offer schedules rather than a single closing date (unsw.edu.au/study/international-students/admissions-info, checked 13 September 2026); final T1 2027 round not yet listed, so deadline_iso_close left blank</t>
        </is>
      </c>
      <c r="AG16" s="24" t="inlineStr">
        <is>
          <t>2026</t>
        </is>
      </c>
      <c r="AH16" s="24" t="inlineStr">
        <is>
          <t>A non-refundable application fee of $150 AUD may be payable via the UNSW Applicant Portal (credit card; some exclusions)</t>
        </is>
      </c>
      <c r="AI16" s="25" t="inlineStr"/>
      <c r="AJ16" s="24" t="inlineStr">
        <is>
          <t>81.0 (2026 international direct entry). CBSE basis: average percentage across English or Hindi plus best four remaining subjects (range marks use mid-point) | ISC: 89.0 (2026 international direct entry)</t>
        </is>
      </c>
    </row>
    <row r="17" ht="42" customHeight="1">
      <c r="A17" s="24" t="inlineStr">
        <is>
          <t>AU-016</t>
        </is>
      </c>
      <c r="B17" s="24" t="inlineStr">
        <is>
          <t>UNSW Sydney</t>
        </is>
      </c>
      <c r="C17" s="24" t="inlineStr">
        <is>
          <t>Australia</t>
        </is>
      </c>
      <c r="D17" s="24" t="inlineStr">
        <is>
          <t>Bachelor of Science (Advanced Mathematics)</t>
        </is>
      </c>
      <c r="E17" s="24" t="inlineStr">
        <is>
          <t>Bachelor</t>
        </is>
      </c>
      <c r="F17" s="24" t="inlineStr">
        <is>
          <t>https://www.unsw.edu.au/study/undergraduate/bachelor-of-science-advanced-mathematics-honours</t>
        </is>
      </c>
      <c r="G17" s="24" t="inlineStr">
        <is>
          <t>Go8 / Top Research</t>
        </is>
      </c>
      <c r="H17" s="24" t="inlineStr">
        <is>
          <t>English</t>
        </is>
      </c>
      <c r="I17" s="24" t="inlineStr">
        <is>
          <t>4</t>
        </is>
      </c>
      <c r="J17" s="24" t="inlineStr">
        <is>
          <t>India State Board 95.0 (MH/KA/TN only)</t>
        </is>
      </c>
      <c r="K17" s="24" t="inlineStr">
        <is>
          <t>34.0 international direct entry requirement (2026); domestic 2026 LSR 93.0 (IB guide 37.0)</t>
        </is>
      </c>
      <c r="L17" s="24" t="inlineStr">
        <is>
          <t>12.0 points international direct entry (2026). A-level basis: minimum two A2 subjects; score aggregated from best 2-4 A2 subjects, A*=6 A=5 B=4 C=3 D=2 E=1</t>
        </is>
      </c>
      <c r="M17" s="24" t="inlineStr">
        <is>
          <t>81.0 (2026 international direct entry). CBSE basis: average percentage across English or Hindi plus best four remaining subjects (range marks use mid-point)</t>
        </is>
      </c>
      <c r="N17" s="24" t="inlineStr">
        <is>
          <t>89.0 (2026 international direct entry)</t>
        </is>
      </c>
      <c r="O17" s="24" t="inlineStr">
        <is>
          <t>Rank/score-based; embedded Honours (research) year</t>
        </is>
      </c>
      <c r="P17" s="24" t="inlineStr">
        <is>
          <t>IELTS 6.5 overall (min 6.0 in each subtest) - standard UNSW requirement</t>
        </is>
      </c>
      <c r="Q17" s="24" t="inlineStr">
        <is>
          <t>None. Assumed knowledge: Mathematics Extension 1</t>
        </is>
      </c>
      <c r="R17" s="24" t="inlineStr">
        <is>
          <t>Rolling offer rounds. Published Term 1 2027 undergraduate international round deadlines: 14 May 2026, 16 July 2026, 20 August 2026, 24 September 2026 (completed-application deadlines per round); later rounds published progressively</t>
        </is>
      </c>
      <c r="S17" s="25" t="inlineStr">
        <is>
          <t>A$61,000 indicative first year fee 2026</t>
        </is>
      </c>
      <c r="T17" s="24" t="inlineStr">
        <is>
          <t>International Scientia Coursework Scholarship (full tuition or $20,000/year); UNSW International Student Award (20% tuition contribution, 500-word personal statement)</t>
        </is>
      </c>
      <c r="U17" s="24" t="inlineStr">
        <is>
          <t>Australian Student visa (subclass 500) after acceptance and CoE; OSHC required</t>
        </is>
      </c>
      <c r="V17" s="24" t="inlineStr">
        <is>
          <t>Direct via the UNSW Applicant Portal, via an authorised agent, or via UAC (UAC required if completing an Australian Year 12; IB students in Australia may use UAC or apply direct)</t>
        </is>
      </c>
      <c r="W17" s="24" t="inlineStr">
        <is>
          <t>CRICOS 088843G. Official title: Bachelor of Science (Advanced Mathematics) (Honours), program 3956, UAC 429300. Commencing Terms 1, 2 &amp; 3. 4-year degree with integrated Honours.</t>
        </is>
      </c>
      <c r="X17" s="24" t="inlineStr">
        <is>
          <t>Confirmed</t>
        </is>
      </c>
      <c r="Y17" s="24" t="inlineStr">
        <is>
          <t>Source URL dead - degree is the 4-year (Honours) program, not 3 years as sheet states; sheet IB 39-42 vs published 34.0; sheet CBSE 94%+ vs 81.0; sheet ISC 90%+ vs 89.0; sheet fee 54,000 vs 61,000</t>
        </is>
      </c>
      <c r="Z17" s="24" t="inlineStr">
        <is>
          <t>https://www.unsw.edu.au/study/undergraduate/bachelor-of-science-advanced-mathematics-honours</t>
        </is>
      </c>
      <c r="AA17" s="24" t="inlineStr">
        <is>
          <t>All India Senior School Certificate (CBSE) 81.0; International Baccalaureate Diploma (IB) 34.0; 2026 Indicative First Year Fee $61,000*</t>
        </is>
      </c>
      <c r="AB17" s="24" t="inlineStr">
        <is>
          <t>13 September 2026</t>
        </is>
      </c>
      <c r="AC17" s="24" t="inlineStr">
        <is>
          <t>yes</t>
        </is>
      </c>
      <c r="AD17" s="24" t="inlineStr">
        <is>
          <t>Pave verification, web-checked</t>
        </is>
      </c>
      <c r="AE17" s="24" t="inlineStr">
        <is>
          <t>Academic transcripts/certificates, English evidence, passport; personal statement for some scholarships; submit via UNSW Applicant Portal</t>
        </is>
      </c>
      <c r="AF17" s="24" t="inlineStr">
        <is>
          <t>UNSW publishes per-round offer schedules rather than a single closing date (unsw.edu.au/study/international-students/admissions-info, checked 13 September 2026); final T1 2027 round not yet listed, so deadline_iso_close left blank</t>
        </is>
      </c>
      <c r="AG17" s="24" t="inlineStr">
        <is>
          <t>2026</t>
        </is>
      </c>
      <c r="AH17" s="24" t="inlineStr">
        <is>
          <t>A non-refundable application fee of $150 AUD may be payable via the UNSW Applicant Portal (credit card; some exclusions)</t>
        </is>
      </c>
      <c r="AI17" s="25" t="inlineStr"/>
      <c r="AJ17" s="24" t="inlineStr">
        <is>
          <t>81.0 (2026 international direct entry). CBSE basis: average percentage across English or Hindi plus best four remaining subjects (range marks use mid-point) | ISC: 89.0 (2026 international direct entry)</t>
        </is>
      </c>
    </row>
    <row r="18" ht="42" customHeight="1">
      <c r="A18" s="24" t="inlineStr">
        <is>
          <t>AU-017</t>
        </is>
      </c>
      <c r="B18" s="24" t="inlineStr">
        <is>
          <t>UNSW Sydney</t>
        </is>
      </c>
      <c r="C18" s="24" t="inlineStr">
        <is>
          <t>Australia</t>
        </is>
      </c>
      <c r="D18" s="24" t="inlineStr">
        <is>
          <t>Bachelor of Laws (LLB)</t>
        </is>
      </c>
      <c r="E18" s="24" t="inlineStr">
        <is>
          <t>Bachelor</t>
        </is>
      </c>
      <c r="F18" s="24" t="inlineStr">
        <is>
          <t>https://www.unsw.edu.au/study/undergraduate/bachelor-of-arts-law</t>
        </is>
      </c>
      <c r="G18" s="24" t="inlineStr">
        <is>
          <t>Go8 / Top Research</t>
        </is>
      </c>
      <c r="H18" s="24" t="inlineStr">
        <is>
          <t>English</t>
        </is>
      </c>
      <c r="I18" s="24" t="inlineStr">
        <is>
          <t>5</t>
        </is>
      </c>
      <c r="J18" s="24" t="inlineStr">
        <is>
          <t>India State Board 98.0 (MH/KA/TN only)</t>
        </is>
      </c>
      <c r="K18" s="24" t="inlineStr">
        <is>
          <t>36.0 international direct entry requirement (2026, BA/Law); domestic 2026 LSR 97.8 + LAT (IB guide 42 + LAT)</t>
        </is>
      </c>
      <c r="L18" s="24" t="inlineStr">
        <is>
          <t>15.0 points international direct entry (2026). A-level basis: minimum two A2 subjects; score aggregated from best 2-4 A2 subjects, A*=6 A=5 B=4 C=3 D=2 E=1</t>
        </is>
      </c>
      <c r="M18" s="24" t="inlineStr">
        <is>
          <t>85.0 (2026 international direct entry). CBSE basis: average percentage across English or Hindi plus best four remaining subjects (range marks use mid-point)</t>
        </is>
      </c>
      <c r="N18" s="24" t="inlineStr">
        <is>
          <t>92.0 (2026 international direct entry)</t>
        </is>
      </c>
      <c r="O18" s="24" t="inlineStr">
        <is>
          <t>Rank/score-based for internationals (no LAT); assumed knowledge: none</t>
        </is>
      </c>
      <c r="P18" s="24" t="inlineStr">
        <is>
          <t>IELTS 7.0 overall (min 6.0 in each subtest) - Law &amp; Justice requirement (higher requirement applies to cross-faculty doubles)</t>
        </is>
      </c>
      <c r="Q18" s="24" t="inlineStr">
        <is>
          <t>LAT (Law Admission Test) applies to domestic UAC applicants only - international applicants are not eligible to sit the LAT and are assessed on academic results</t>
        </is>
      </c>
      <c r="R18" s="24" t="inlineStr">
        <is>
          <t>Rolling offer rounds. Published Term 1 2027 undergraduate international round deadlines: 14 May 2026, 16 July 2026, 20 August 2026, 24 September 2026 (completed-application deadlines per round); later rounds published progressively</t>
        </is>
      </c>
      <c r="S18" s="25" t="inlineStr">
        <is>
          <t>A$52,500 indicative first year fee 2026 (BA/Law)</t>
        </is>
      </c>
      <c r="T18" s="24" t="inlineStr">
        <is>
          <t>International Scientia Coursework Scholarship (full tuition or $20,000/year); UNSW International Student Award (20% tuition contribution, 500-word personal statement)</t>
        </is>
      </c>
      <c r="U18" s="24" t="inlineStr">
        <is>
          <t>Australian Student visa (subclass 500) after acceptance and CoE; OSHC required</t>
        </is>
      </c>
      <c r="V18" s="24" t="inlineStr">
        <is>
          <t>Direct via the UNSW Applicant Portal, via an authorised agent, or via UAC (UAC required if completing an Australian Year 12; IB students in Australia may use UAC or apply direct). Domestic double-law applications go through UAC code 426000</t>
        </is>
      </c>
      <c r="W18" s="24" t="inlineStr">
        <is>
          <t>CRICOS 005947G (BA/Law). Program 4782, UAC 426000. Term 1 intake only. UNSW does NOT offer a standalone undergraduate LLB - law is taken as a 5-year double degree (Arts/Commerce/Economics/Science etc. + Law); BA/Law used as reference combination.</t>
        </is>
      </c>
      <c r="X18" s="24" t="inlineStr">
        <is>
          <t>Confirmed</t>
        </is>
      </c>
      <c r="Y18" s="24" t="inlineStr">
        <is>
          <t>Sheet describes a 4-year standalone LLB that does not exist (dead URL; UNSW law is 5-year double degree, Term 1 only); sheet IB 41-45 vs published international direct entry 36.0; sheet IELTS 7.0/6.5 vs published 7.0/6.0; sheet CBSE 95%+ vs 85.0; sheet ISC 92%+ matches 92.0; sheet fee 55,000 vs 52,500 (BA/Law)</t>
        </is>
      </c>
      <c r="Z18" s="24" t="inlineStr">
        <is>
          <t>https://www.unsw.edu.au/study/undergraduate/bachelor-of-arts-law</t>
        </is>
      </c>
      <c r="AA18" s="24" t="inlineStr">
        <is>
          <t>All India Senior School Certificate (CBSE) 85.0; International Baccalaureate Diploma (IB) 36.0; 2026 Indicative First Year Fee $52,500*</t>
        </is>
      </c>
      <c r="AB18" s="24" t="inlineStr">
        <is>
          <t>13 September 2026</t>
        </is>
      </c>
      <c r="AC18" s="24" t="inlineStr">
        <is>
          <t>yes</t>
        </is>
      </c>
      <c r="AD18" s="24" t="inlineStr">
        <is>
          <t>Pave verification, web-checked</t>
        </is>
      </c>
      <c r="AE18" s="24" t="inlineStr">
        <is>
          <t>Academic transcripts/certificates, English evidence, passport; personal statement for some scholarships; submit via UNSW Applicant Portal</t>
        </is>
      </c>
      <c r="AF18" s="24" t="inlineStr">
        <is>
          <t>UNSW publishes per-round offer schedules rather than a single closing date (unsw.edu.au/study/international-students/admissions-info, checked 13 September 2026); final T1 2027 round not yet listed, so deadline_iso_close left blank</t>
        </is>
      </c>
      <c r="AG18" s="24" t="inlineStr">
        <is>
          <t>2026</t>
        </is>
      </c>
      <c r="AH18" s="24" t="inlineStr">
        <is>
          <t>A non-refundable application fee of $150 AUD may be payable via the UNSW Applicant Portal (credit card; some exclusions)</t>
        </is>
      </c>
      <c r="AI18" s="25" t="inlineStr"/>
      <c r="AJ18" s="24" t="inlineStr">
        <is>
          <t>85.0 (2026 international direct entry). CBSE basis: average percentage across English or Hindi plus best four remaining subjects (range marks use mid-point) | ISC: 92.0 (2026 international direct entry)</t>
        </is>
      </c>
    </row>
    <row r="19" ht="42" customHeight="1">
      <c r="A19" s="24" t="inlineStr">
        <is>
          <t>AU-018</t>
        </is>
      </c>
      <c r="B19" s="24" t="inlineStr">
        <is>
          <t>UNSW Sydney</t>
        </is>
      </c>
      <c r="C19" s="24" t="inlineStr">
        <is>
          <t>Australia</t>
        </is>
      </c>
      <c r="D19" s="24" t="inlineStr">
        <is>
          <t>Bachelor of Design</t>
        </is>
      </c>
      <c r="E19" s="24" t="inlineStr">
        <is>
          <t>Bachelor</t>
        </is>
      </c>
      <c r="F19" s="24" t="inlineStr">
        <is>
          <t>https://www.unsw.edu.au/study/undergraduate/bachelor-of-design1</t>
        </is>
      </c>
      <c r="G19" s="24" t="inlineStr">
        <is>
          <t>Go8 / Top Research</t>
        </is>
      </c>
      <c r="H19" s="24" t="inlineStr">
        <is>
          <t>English</t>
        </is>
      </c>
      <c r="I19" s="24" t="inlineStr">
        <is>
          <t>3</t>
        </is>
      </c>
      <c r="J19" s="24" t="inlineStr">
        <is>
          <t>India State Board 87.0 (MH/KA/TN only)</t>
        </is>
      </c>
      <c r="K19" s="24" t="inlineStr">
        <is>
          <t>29.0 international direct entry requirement (2026); domestic 2026 LSR 83.0 (IB guide 31.0)</t>
        </is>
      </c>
      <c r="L19" s="24" t="inlineStr">
        <is>
          <t>10.0 points international direct entry (2026). A-level basis: minimum two A2 subjects; score aggregated from best 2-4 A2 subjects, A*=6 A=5 B=4 C=3 D=2 E=1</t>
        </is>
      </c>
      <c r="M19" s="24" t="inlineStr">
        <is>
          <t>75.0 (2026 international direct entry). CBSE basis: average percentage across English or Hindi plus best four remaining subjects (range marks use mid-point)</t>
        </is>
      </c>
      <c r="N19" s="24" t="inlineStr">
        <is>
          <t>83.0 (2026 international direct entry)</t>
        </is>
      </c>
      <c r="O19" s="24" t="inlineStr">
        <is>
          <t>Rank/score-based; no portfolio or interview published</t>
        </is>
      </c>
      <c r="P19" s="24" t="inlineStr">
        <is>
          <t>IELTS 6.5 overall (min 6.0 in each subtest) - standard UNSW requirement</t>
        </is>
      </c>
      <c r="Q19" s="24" t="inlineStr">
        <is>
          <t>None - no portfolio requirement published; entry is on ATAR/equivalent rank plus English ('you'll need to meet the relevant entry criteria - including the published ATAR cut-off or equivalent, English language requirements'). Assumed knowledge: none</t>
        </is>
      </c>
      <c r="R19" s="24" t="inlineStr">
        <is>
          <t>Rolling offer rounds. Published Term 1 2027 undergraduate international round deadlines: 14 May 2026, 16 July 2026, 20 August 2026, 24 September 2026 (completed-application deadlines per round); later rounds published progressively</t>
        </is>
      </c>
      <c r="S19" s="25" t="inlineStr">
        <is>
          <t>A$49,500 indicative first year fee 2026</t>
        </is>
      </c>
      <c r="T19" s="24" t="inlineStr">
        <is>
          <t>International Scientia Coursework Scholarship (full tuition or $20,000/year); UNSW International Student Award (20% tuition contribution, 500-word personal statement)</t>
        </is>
      </c>
      <c r="U19" s="24" t="inlineStr">
        <is>
          <t>Australian Student visa (subclass 500) after acceptance and CoE; OSHC required</t>
        </is>
      </c>
      <c r="V19" s="24" t="inlineStr">
        <is>
          <t>Direct via the UNSW Applicant Portal, via an authorised agent, or via UAC (UAC required if completing an Australian Year 12; IB students in Australia may use UAC or apply direct)</t>
        </is>
      </c>
      <c r="W19" s="24" t="inlineStr">
        <is>
          <t>CRICOS 110651E. Program 4825, UAC 421050. Commencing Terms 1, 2 &amp; 3. Source URL redirects to bachelor-of-design1. This is UNSW School of Art &amp; Design's Bachelor of Design (not the Built Environment architecture degree - architecture is the separate Bachelor of Architectural Studies).</t>
        </is>
      </c>
      <c r="X19" s="24" t="inlineStr">
        <is>
          <t>Confirmed</t>
        </is>
      </c>
      <c r="Y19" s="24" t="inlineStr">
        <is>
          <t>Sheet 'Portfolio required' has no published basis - entry is rank-based with no portfolio mentioned; sheet IB 32-36 vs published 29.0; sheet CBSE 85%+ vs 75.0; sheet ISC 78%+ vs 83.0; sheet fee 52,000 vs 49,500; sheet notes describe Built Environment/architecture streams, but architecture is a separate degree</t>
        </is>
      </c>
      <c r="Z19" s="24" t="inlineStr">
        <is>
          <t>https://www.unsw.edu.au/study/undergraduate/bachelor-of-design1</t>
        </is>
      </c>
      <c r="AA19" s="24" t="inlineStr">
        <is>
          <t>All India Senior School Certificate (CBSE) 75.0; International Baccalaureate Diploma (IB) 29.0; 2026 Indicative First Year Fee $49,500*</t>
        </is>
      </c>
      <c r="AB19" s="24" t="inlineStr">
        <is>
          <t>13 September 2026</t>
        </is>
      </c>
      <c r="AC19" s="24" t="inlineStr">
        <is>
          <t>yes</t>
        </is>
      </c>
      <c r="AD19" s="24" t="inlineStr">
        <is>
          <t>Pave verification, web-checked</t>
        </is>
      </c>
      <c r="AE19" s="24" t="inlineStr">
        <is>
          <t>Academic transcripts/certificates, English evidence, passport; personal statement for some scholarships; submit via UNSW Applicant Portal</t>
        </is>
      </c>
      <c r="AF19" s="24" t="inlineStr">
        <is>
          <t>UNSW publishes per-round offer schedules rather than a single closing date (unsw.edu.au/study/international-students/admissions-info, checked 13 September 2026); final T1 2027 round not yet listed, so deadline_iso_close left blank</t>
        </is>
      </c>
      <c r="AG19" s="24" t="inlineStr">
        <is>
          <t>2026</t>
        </is>
      </c>
      <c r="AH19" s="24" t="inlineStr">
        <is>
          <t>A non-refundable application fee of $150 AUD may be payable via the UNSW Applicant Portal (credit card; some exclusions)</t>
        </is>
      </c>
      <c r="AI19" s="25" t="inlineStr"/>
      <c r="AJ19" s="24" t="inlineStr">
        <is>
          <t>75.0 (2026 international direct entry). CBSE basis: average percentage across English or Hindi plus best four remaining subjects (range marks use mid-point) | ISC: 83.0 (2026 international direct entry)</t>
        </is>
      </c>
    </row>
    <row r="20" ht="42" customHeight="1">
      <c r="A20" s="24" t="inlineStr">
        <is>
          <t>AU-019</t>
        </is>
      </c>
      <c r="B20" s="24" t="inlineStr">
        <is>
          <t>Australian National University (ANU)</t>
        </is>
      </c>
      <c r="C20" s="24" t="inlineStr">
        <is>
          <t>Australia</t>
        </is>
      </c>
      <c r="D20" s="24" t="inlineStr">
        <is>
          <t>Bachelor of Commerce</t>
        </is>
      </c>
      <c r="E20" s="24" t="inlineStr">
        <is>
          <t>Bachelor</t>
        </is>
      </c>
      <c r="F20" s="24" t="inlineStr">
        <is>
          <t>https://programsandcourses.anu.edu.au/program/BCOMM</t>
        </is>
      </c>
      <c r="G20" s="24" t="inlineStr">
        <is>
          <t>Go8 / Top Research</t>
        </is>
      </c>
      <c r="H20" s="24" t="inlineStr">
        <is>
          <t>English</t>
        </is>
      </c>
      <c r="I20" s="24" t="inlineStr">
        <is>
          <t>3</t>
        </is>
      </c>
      <c r="J20" s="25" t="inlineStr"/>
      <c r="K20" s="24" t="inlineStr">
        <is>
          <t>30</t>
        </is>
      </c>
      <c r="L20" s="24" t="inlineStr">
        <is>
          <t>Not published as A-level grades; ANU rank 80 required (see notes)</t>
        </is>
      </c>
      <c r="M20" s="24" t="inlineStr">
        <is>
          <t>14.0/20 (ANU rank 80 row; ANU converts CBSE (AISSC) on a 20-point scale: marks in English or Hindi plus best 4 externally examined subjects (A1=4, A2=3.5, B1=3 ... D2=0.5) - NOT a percentage)</t>
        </is>
      </c>
      <c r="N20" s="24" t="inlineStr">
        <is>
          <t>84 average (ANU rank 80 row; ISC: average of marks in English and best 3 externally examined subjects)</t>
        </is>
      </c>
      <c r="O20" s="24" t="inlineStr">
        <is>
          <t>ATAR 80 guaranteed entry; minimum consideration rank 70. Prerequisite: Mathematical Methods (major)/equivalent assumed</t>
        </is>
      </c>
      <c r="P20" s="25" t="inlineStr">
        <is>
          <t>IELTS Academic 6.5 overall, no band below 6.0 (Reading/Writing/Listening/Speaking 6.0); TOEFL iBT 81 overall (R16 W19 L16 S19) for study from 1 Jan 2027 — university-wide UG policy ANUP_000408, no higher requirement listed for Law</t>
        </is>
      </c>
      <c r="Q20" s="24" t="inlineStr">
        <is>
          <t>None published for this course</t>
        </is>
      </c>
      <c r="R20" s="24" t="inlineStr">
        <is>
          <t>Semester 1 2027 intake (Feb): applications close 15 December 2026; Semester 2 2027 intake (Jul): close 15 May 2027</t>
        </is>
      </c>
      <c r="S20" s="24" t="inlineStr">
        <is>
          <t>AUD 57,640 per year</t>
        </is>
      </c>
      <c r="T20" s="24" t="inlineStr">
        <is>
          <t>Not verified this pass; sheet's 'Chancellor's International Scholarship (75%)' unconfirmed</t>
        </is>
      </c>
      <c r="U20" s="24" t="inlineStr">
        <is>
          <t>Student visa (subclass 500) after acceptance - standard Australian process</t>
        </is>
      </c>
      <c r="V20" s="24" t="inlineStr">
        <is>
          <t>Direct online application via ANU (AUD$150 fee per application); current Year 12/IB/NCEA students apply via UAC</t>
        </is>
      </c>
      <c r="W20" s="24" t="inlineStr">
        <is>
          <t>CRICOS 002289F. Intakes Feb (S1) and Jul (S2). Maths prerequisite: 'Mathematical Methods (Major)/Further Mathematics/Specialist Mathematics (major)' or HSC Mathematics Advanced equivalent</t>
        </is>
      </c>
      <c r="X20" s="24" t="inlineStr">
        <is>
          <t>Confirmed</t>
        </is>
      </c>
      <c r="Y20" s="24" t="inlineStr">
        <is>
          <t>Sheet tuition 'AUD 45,000-50,000' wrong (57,640); sheet CBSE '83%+' wrong format - ANU uses a 20-point grade scale (14.0 needed); sheet ISC '75%+' wrong (84 needed); sheet deadline '15 May' is the S2 close only - S1 closes 15 Dec</t>
        </is>
      </c>
      <c r="Z20" s="24" t="inlineStr">
        <is>
          <t>https://programsandcourses.anu.edu.au/program/BCOMM</t>
        </is>
      </c>
      <c r="AA20" s="24" t="inlineStr">
        <is>
          <t>International Baccalaureate: 30; ATAR: 80; indicative international annual fee $57,640.00; CRICOS 002289F</t>
        </is>
      </c>
      <c r="AB20" s="24" t="inlineStr">
        <is>
          <t>13 September 2026</t>
        </is>
      </c>
      <c r="AC20" s="24" t="inlineStr">
        <is>
          <t>yes</t>
        </is>
      </c>
      <c r="AD20" s="24" t="inlineStr">
        <is>
          <t>Pave verification, web-checked</t>
        </is>
      </c>
      <c r="AE20" s="24" t="inlineStr">
        <is>
          <t>Academic transcripts, evidence of English proficiency, passport; per ANU international application portal</t>
        </is>
      </c>
      <c r="AF20" s="24" t="inlineStr">
        <is>
          <t>S1 2027 close published; S2 2027 close 15 May 2027 also published</t>
        </is>
      </c>
      <c r="AG20" s="24" t="inlineStr">
        <is>
          <t>2027 (current catalogue year)</t>
        </is>
      </c>
      <c r="AH20" s="24" t="inlineStr">
        <is>
          <t>AUD 150</t>
        </is>
      </c>
      <c r="AI20" s="24" t="inlineStr">
        <is>
          <t>2026-12-15</t>
        </is>
      </c>
      <c r="AJ20" s="24" t="inlineStr">
        <is>
          <t>14.0/20 (ANU rank 80 row; ANU converts CBSE (AISSC) on a 20-point scale: marks in English or Hindi plus best 4 externally examined subjects (A1=4, A2=3.5, B1=3 ... D2=0.5) - NOT a percentage) | ISC: 84 average (ANU rank 80 row; ISC: average of marks in English and best 3 externally examined subjects)</t>
        </is>
      </c>
    </row>
    <row r="21" ht="42" customHeight="1">
      <c r="A21" s="24" t="inlineStr">
        <is>
          <t>AU-020</t>
        </is>
      </c>
      <c r="B21" s="24" t="inlineStr">
        <is>
          <t>Australian National University (ANU)</t>
        </is>
      </c>
      <c r="C21" s="24" t="inlineStr">
        <is>
          <t>Australia</t>
        </is>
      </c>
      <c r="D21" s="24" t="inlineStr">
        <is>
          <t>Bachelor of International Relations</t>
        </is>
      </c>
      <c r="E21" s="24" t="inlineStr">
        <is>
          <t>Bachelor</t>
        </is>
      </c>
      <c r="F21" s="24" t="inlineStr">
        <is>
          <t>https://programsandcourses.anu.edu.au/program/bir</t>
        </is>
      </c>
      <c r="G21" s="24" t="inlineStr">
        <is>
          <t>Go8 / Top Research</t>
        </is>
      </c>
      <c r="H21" s="24" t="inlineStr">
        <is>
          <t>English</t>
        </is>
      </c>
      <c r="I21" s="24" t="inlineStr">
        <is>
          <t>3</t>
        </is>
      </c>
      <c r="J21" s="25" t="inlineStr"/>
      <c r="K21" s="24" t="inlineStr">
        <is>
          <t>33</t>
        </is>
      </c>
      <c r="L21" s="24" t="inlineStr">
        <is>
          <t>Not published as A-level grades; ANU rank 85 required</t>
        </is>
      </c>
      <c r="M21" s="24" t="inlineStr">
        <is>
          <t>15.5/20 (ANU rank 85 row; ANU converts CBSE (AISSC) on a 20-point scale: marks in English or Hindi plus best 4 externally examined subjects (A1=4, A2=3.5, B1=3 ... D2=0.5) - NOT a percentage)</t>
        </is>
      </c>
      <c r="N21" s="24" t="inlineStr">
        <is>
          <t>87 average (ANU rank 85 row)</t>
        </is>
      </c>
      <c r="O21" s="24" t="inlineStr">
        <is>
          <t>ATAR 85; no admissions test</t>
        </is>
      </c>
      <c r="P21" s="25" t="inlineStr">
        <is>
          <t>IELTS Academic 6.5 overall, no band below 6.0 (Reading/Writing/Listening/Speaking 6.0); TOEFL iBT 81 overall (R16 W19 L16 S19) for study from 1 Jan 2027 — university-wide UG policy ANUP_000408, no higher requirement listed for Law</t>
        </is>
      </c>
      <c r="Q21" s="24" t="inlineStr">
        <is>
          <t>None published for this course</t>
        </is>
      </c>
      <c r="R21" s="24" t="inlineStr">
        <is>
          <t>Semester 1 2027 intake (Feb): applications close 15 December 2026; Semester 2 2027 intake (Jul): close 15 May 2027</t>
        </is>
      </c>
      <c r="S21" s="24" t="inlineStr">
        <is>
          <t>AUD 54,540 per year</t>
        </is>
      </c>
      <c r="T21" s="24" t="inlineStr">
        <is>
          <t>Not verified this pass; sheet's 'Chancellor's International Scholarship (75%)' unconfirmed</t>
        </is>
      </c>
      <c r="U21" s="24" t="inlineStr">
        <is>
          <t>Student visa (subclass 500) after acceptance - standard Australian process</t>
        </is>
      </c>
      <c r="V21" s="24" t="inlineStr">
        <is>
          <t>Direct online application via ANU (AUD$150 fee per application); current Year 12/IB/NCEA students apply via UAC</t>
        </is>
      </c>
      <c r="W21" s="24" t="inlineStr">
        <is>
          <t>CRICOS 073992F. 144 units. Program code is BIR (not BINTL). Semester 2 commencement possible with course-availability restrictions</t>
        </is>
      </c>
      <c r="X21" s="24" t="inlineStr">
        <is>
          <t>Confirmed</t>
        </is>
      </c>
      <c r="Y21" s="24" t="inlineStr">
        <is>
          <t>Sheet course_url dead; sheet IB 32 wrong (33); sheet CBSE 85%/ISC 78% wrong format and values; sheet tuition AUD 43,000-48,000 wrong (54,540)</t>
        </is>
      </c>
      <c r="Z21" s="24" t="inlineStr">
        <is>
          <t>https://programsandcourses.anu.edu.au/program/bir</t>
        </is>
      </c>
      <c r="AA21" s="24" t="inlineStr">
        <is>
          <t>CRICOS 073992F; IB 33; ATAR 85; international annual fee $54,540.00</t>
        </is>
      </c>
      <c r="AB21" s="24" t="inlineStr">
        <is>
          <t>13 September 2026</t>
        </is>
      </c>
      <c r="AC21" s="25" t="inlineStr"/>
      <c r="AD21" s="24" t="inlineStr">
        <is>
          <t>Pave verification, web-checked</t>
        </is>
      </c>
      <c r="AE21" s="24" t="inlineStr">
        <is>
          <t>Academic transcripts, evidence of English proficiency, passport; per ANU international application portal</t>
        </is>
      </c>
      <c r="AF21" s="24" t="inlineStr">
        <is>
          <t>S1 2027 close published</t>
        </is>
      </c>
      <c r="AG21" s="24" t="inlineStr">
        <is>
          <t>2027 (current catalogue year)</t>
        </is>
      </c>
      <c r="AH21" s="24" t="inlineStr">
        <is>
          <t>AUD 150</t>
        </is>
      </c>
      <c r="AI21" s="24" t="inlineStr">
        <is>
          <t>2026-12-15</t>
        </is>
      </c>
      <c r="AJ21" s="24" t="inlineStr">
        <is>
          <t>15.5/20 (ANU rank 85 row; ANU converts CBSE (AISSC) on a 20-point scale: marks in English or Hindi plus best 4 externally examined subjects (A1=4, A2=3.5, B1=3 ... D2=0.5) - NOT a percentage) | ISC: 87 average (ANU rank 85 row)</t>
        </is>
      </c>
    </row>
    <row r="22" ht="42" customHeight="1">
      <c r="A22" s="24" t="inlineStr">
        <is>
          <t>AU-021</t>
        </is>
      </c>
      <c r="B22" s="24" t="inlineStr">
        <is>
          <t>Australian National University (ANU)</t>
        </is>
      </c>
      <c r="C22" s="24" t="inlineStr">
        <is>
          <t>Australia</t>
        </is>
      </c>
      <c r="D22" s="24" t="inlineStr">
        <is>
          <t>Bachelor of Laws (LLB)</t>
        </is>
      </c>
      <c r="E22" s="24" t="inlineStr">
        <is>
          <t>Bachelor</t>
        </is>
      </c>
      <c r="F22" s="24" t="inlineStr">
        <is>
          <t>https://programsandcourses.anu.edu.au/program/allb</t>
        </is>
      </c>
      <c r="G22" s="24" t="inlineStr">
        <is>
          <t>Go8 / Top Research</t>
        </is>
      </c>
      <c r="H22" s="24" t="inlineStr">
        <is>
          <t>English</t>
        </is>
      </c>
      <c r="I22" s="24" t="inlineStr">
        <is>
          <t>4</t>
        </is>
      </c>
      <c r="J22" s="25" t="inlineStr"/>
      <c r="K22" s="24" t="inlineStr">
        <is>
          <t>41</t>
        </is>
      </c>
      <c r="L22" s="24" t="inlineStr">
        <is>
          <t>Not published as A-level grades; ANU rank 97 required</t>
        </is>
      </c>
      <c r="M22" s="24" t="inlineStr">
        <is>
          <t>19.0/20 (ANU rank 97 row; ANU converts CBSE (AISSC) on a 20-point scale: marks in English or Hindi plus best 4 externally examined subjects (A1=4, A2=3.5, B1=3 ... D2=0.5) - NOT a percentage)</t>
        </is>
      </c>
      <c r="N22" s="24" t="inlineStr">
        <is>
          <t>95 average (ANU rank 97 row)</t>
        </is>
      </c>
      <c r="O22" s="24" t="inlineStr">
        <is>
          <t>ATAR 97 guaranteed; minimum consideration rank 87. Applicants who already hold a bachelor degree are ineligible (apply for JD instead)</t>
        </is>
      </c>
      <c r="P22" s="25" t="inlineStr">
        <is>
          <t>IELTS Academic 6.5 overall, no band below 6.0 (Reading/Writing/Listening/Speaking 6.0); TOEFL iBT 81 overall (R16 W19 L16 S19) for study from 1 Jan 2027 — university-wide UG policy ANUP_000408, no higher requirement listed for Law - note: ANU policy lists the SAME 6.5/6.0 for Law, not 7.0</t>
        </is>
      </c>
      <c r="Q22" s="24" t="inlineStr">
        <is>
          <t>None published for this course</t>
        </is>
      </c>
      <c r="R22" s="24" t="inlineStr">
        <is>
          <t>Semester 1 2027 intake (Feb): applications close 15 December 2026; Semester 2 2027 intake (Jul): close 15 May 2027</t>
        </is>
      </c>
      <c r="S22" s="24" t="inlineStr">
        <is>
          <t>AUD 54,540 per year</t>
        </is>
      </c>
      <c r="T22" s="24" t="inlineStr">
        <is>
          <t>Not verified this pass; sheet's 'Chancellor's International Scholarship (75%)' unconfirmed</t>
        </is>
      </c>
      <c r="U22" s="24" t="inlineStr">
        <is>
          <t>Student visa (subclass 500) after acceptance - standard Australian process</t>
        </is>
      </c>
      <c r="V22" s="24" t="inlineStr">
        <is>
          <t>Direct online application via ANU (AUD$150 fee per application); current Year 12/IB/NCEA students apply via UAC</t>
        </is>
      </c>
      <c r="W22" s="24" t="inlineStr">
        <is>
          <t>Actual award is Bachelor of Laws (Honours), program code ALLB. CRICOS 085042J. 192 units</t>
        </is>
      </c>
      <c r="X22" s="24" t="inlineStr">
        <is>
          <t>Confirmed</t>
        </is>
      </c>
      <c r="Y22" s="24" t="inlineStr">
        <is>
          <t>Sheet course_url dead; sheet IB 38-42 low end wrong (41); sheet IELTS 7.0/6.5 not supported by ANU policy (uniform 6.5/6.0); sheet CBSE 93%/ISC 88% wrong format/values; sheet tuition 45,000-52,000 wrong (54,540)</t>
        </is>
      </c>
      <c r="Z22" s="24" t="inlineStr">
        <is>
          <t>https://programsandcourses.anu.edu.au/program/allb</t>
        </is>
      </c>
      <c r="AA22" s="24" t="inlineStr">
        <is>
          <t>CRICOS 085042J; IB 41; ATAR 97 guaranteed entry, minimum consideration 87; international annual fee $54,540.00</t>
        </is>
      </c>
      <c r="AB22" s="24" t="inlineStr">
        <is>
          <t>13 September 2026</t>
        </is>
      </c>
      <c r="AC22" s="25" t="inlineStr"/>
      <c r="AD22" s="24" t="inlineStr">
        <is>
          <t>Pave verification, web-checked</t>
        </is>
      </c>
      <c r="AE22" s="24" t="inlineStr">
        <is>
          <t>Academic transcripts, evidence of English proficiency, passport; per ANU international application portal</t>
        </is>
      </c>
      <c r="AF22" s="24" t="inlineStr">
        <is>
          <t>S1 2027 close published</t>
        </is>
      </c>
      <c r="AG22" s="24" t="inlineStr">
        <is>
          <t>2027 (current catalogue year)</t>
        </is>
      </c>
      <c r="AH22" s="24" t="inlineStr">
        <is>
          <t>AUD 150</t>
        </is>
      </c>
      <c r="AI22" s="24" t="inlineStr">
        <is>
          <t>2026-12-15</t>
        </is>
      </c>
      <c r="AJ22" s="24" t="inlineStr">
        <is>
          <t>19.0/20 (ANU rank 97 row; ANU converts CBSE (AISSC) on a 20-point scale: marks in English or Hindi plus best 4 externally examined subjects (A1=4, A2=3.5, B1=3 ... D2=0.5) - NOT a percentage) | ISC: 95 average (ANU rank 97 row)</t>
        </is>
      </c>
    </row>
    <row r="23" ht="42" customHeight="1">
      <c r="A23" s="24" t="inlineStr">
        <is>
          <t>AU-022</t>
        </is>
      </c>
      <c r="B23" s="24" t="inlineStr">
        <is>
          <t>Australian National University (ANU)</t>
        </is>
      </c>
      <c r="C23" s="24" t="inlineStr">
        <is>
          <t>Australia</t>
        </is>
      </c>
      <c r="D23" s="24" t="inlineStr">
        <is>
          <t>Bachelor of Science (Advanced)</t>
        </is>
      </c>
      <c r="E23" s="24" t="inlineStr">
        <is>
          <t>Bachelor</t>
        </is>
      </c>
      <c r="F23" s="24" t="inlineStr">
        <is>
          <t>https://programsandcourses.anu.edu.au/program/ascad</t>
        </is>
      </c>
      <c r="G23" s="24" t="inlineStr">
        <is>
          <t>Go8 / Top Research</t>
        </is>
      </c>
      <c r="H23" s="24" t="inlineStr">
        <is>
          <t>English</t>
        </is>
      </c>
      <c r="I23" s="24" t="inlineStr">
        <is>
          <t>4 (3 years coursework + research honours year)</t>
        </is>
      </c>
      <c r="J23" s="25" t="inlineStr"/>
      <c r="K23" s="24" t="inlineStr">
        <is>
          <t>35</t>
        </is>
      </c>
      <c r="L23" s="24" t="inlineStr">
        <is>
          <t>Not published as A-level grades; ANU rank 90 required</t>
        </is>
      </c>
      <c r="M23" s="24" t="inlineStr">
        <is>
          <t>17.0/20 (ANU rank 90 row; ANU converts CBSE (AISSC) on a 20-point scale: marks in English or Hindi plus best 4 externally examined subjects (A1=4, A2=3.5, B1=3 ... D2=0.5) - NOT a percentage)</t>
        </is>
      </c>
      <c r="N23" s="24" t="inlineStr">
        <is>
          <t>90 average (ANU rank 90 row)</t>
        </is>
      </c>
      <c r="O23" s="24" t="inlineStr">
        <is>
          <t>ATAR 90 guaranteed; minimum consideration unadjusted rank 75. No formal program prerequisites; specific courses assume ACT/NSW maths and chemistry majors or bridging</t>
        </is>
      </c>
      <c r="P23" s="25" t="inlineStr">
        <is>
          <t>IELTS Academic 6.5 overall, no band below 6.0 (Reading/Writing/Listening/Speaking 6.0); TOEFL iBT 81 overall (R16 W19 L16 S19) for study from 1 Jan 2027 — university-wide UG policy ANUP_000408, no higher requirement listed for Law</t>
        </is>
      </c>
      <c r="Q23" s="24" t="inlineStr">
        <is>
          <t>None published for this course</t>
        </is>
      </c>
      <c r="R23" s="24" t="inlineStr">
        <is>
          <t>Semester 1 2027 intake (Feb): applications close 15 December 2026; Semester 2 2027 intake (Jul): close 15 May 2027</t>
        </is>
      </c>
      <c r="S23" s="24" t="inlineStr">
        <is>
          <t>AUD 57,640 per year</t>
        </is>
      </c>
      <c r="T23" s="24" t="inlineStr">
        <is>
          <t>Not verified this pass; sheet's 'Chancellor's International Scholarship (75%)' unconfirmed</t>
        </is>
      </c>
      <c r="U23" s="24" t="inlineStr">
        <is>
          <t>Student visa (subclass 500) after acceptance - standard Australian process</t>
        </is>
      </c>
      <c r="V23" s="24" t="inlineStr">
        <is>
          <t>Direct online application via ANU (AUD$150 fee per application); current Year 12/IB/NCEA students apply via UAC</t>
        </is>
      </c>
      <c r="W23" s="24" t="inlineStr">
        <is>
          <t>Actual award is Bachelor of Science (Advanced) (Honours), program code ASCAD, 192 units. CRICOS 065138M</t>
        </is>
      </c>
      <c r="X23" s="24" t="inlineStr">
        <is>
          <t>Confirmed</t>
        </is>
      </c>
      <c r="Y23" s="24" t="inlineStr">
        <is>
          <t>Sheet duration 3 wrong (4 - honours embedded); sheet IB 32 wrong (35); sheet CBSE 85%/ISC 78% wrong format/values; sheet tuition 44,000-50,000 wrong (57,640)</t>
        </is>
      </c>
      <c r="Z23" s="24" t="inlineStr">
        <is>
          <t>https://programsandcourses.anu.edu.au/program/ascad</t>
        </is>
      </c>
      <c r="AA23" s="24" t="inlineStr">
        <is>
          <t>Length 4 year full-time; International Baccalaureate: 35; ATAR: 90; indicative international annual fee $57,640.00 (2027); CRICOS 065138M</t>
        </is>
      </c>
      <c r="AB23" s="24" t="inlineStr">
        <is>
          <t>13 September 2026</t>
        </is>
      </c>
      <c r="AC23" s="25" t="inlineStr"/>
      <c r="AD23" s="24" t="inlineStr">
        <is>
          <t>Pave verification, web-checked</t>
        </is>
      </c>
      <c r="AE23" s="24" t="inlineStr">
        <is>
          <t>Academic transcripts, evidence of English proficiency, passport; per ANU international application portal</t>
        </is>
      </c>
      <c r="AF23" s="24" t="inlineStr">
        <is>
          <t>S1 2027 close published</t>
        </is>
      </c>
      <c r="AG23" s="24" t="inlineStr">
        <is>
          <t>2027 (page notes current year 2027)</t>
        </is>
      </c>
      <c r="AH23" s="24" t="inlineStr">
        <is>
          <t>AUD 150</t>
        </is>
      </c>
      <c r="AI23" s="24" t="inlineStr">
        <is>
          <t>2026-12-15</t>
        </is>
      </c>
      <c r="AJ23" s="24" t="inlineStr">
        <is>
          <t>17.0/20 (ANU rank 90 row; ANU converts CBSE (AISSC) on a 20-point scale: marks in English or Hindi plus best 4 externally examined subjects (A1=4, A2=3.5, B1=3 ... D2=0.5) - NOT a percentage) | ISC: 90 average (ANU rank 90 row)</t>
        </is>
      </c>
    </row>
    <row r="24" ht="42" customHeight="1">
      <c r="A24" s="24" t="inlineStr">
        <is>
          <t>AU-023</t>
        </is>
      </c>
      <c r="B24" s="24" t="inlineStr">
        <is>
          <t>Australian National University (ANU)</t>
        </is>
      </c>
      <c r="C24" s="24" t="inlineStr">
        <is>
          <t>Australia</t>
        </is>
      </c>
      <c r="D24" s="24" t="inlineStr">
        <is>
          <t>Bachelor of Philosophy (PhB)</t>
        </is>
      </c>
      <c r="E24" s="24" t="inlineStr">
        <is>
          <t>Bachelor</t>
        </is>
      </c>
      <c r="F24" s="24" t="inlineStr">
        <is>
          <t>https://programsandcourses.anu.edu.au/program/aphsc</t>
        </is>
      </c>
      <c r="G24" s="24" t="inlineStr">
        <is>
          <t>Go8 / Top Research</t>
        </is>
      </c>
      <c r="H24" s="24" t="inlineStr">
        <is>
          <t>English</t>
        </is>
      </c>
      <c r="I24" s="24" t="inlineStr">
        <is>
          <t>4</t>
        </is>
      </c>
      <c r="J24" s="25" t="inlineStr"/>
      <c r="K24" s="24" t="inlineStr">
        <is>
          <t>43</t>
        </is>
      </c>
      <c r="L24" s="24" t="inlineStr">
        <is>
          <t>Not published as A-level grades; ANU rank 99 required</t>
        </is>
      </c>
      <c r="M24" s="24" t="inlineStr">
        <is>
          <t>20.0/20 (ANU rank 99 row; ANU converts CBSE (AISSC) on a 20-point scale: marks in English or Hindi plus best 4 externally examined subjects (A1=4, A2=3.5, B1=3 ... D2=0.5) - NOT a percentage)</t>
        </is>
      </c>
      <c r="N24" s="24" t="inlineStr">
        <is>
          <t>96 average (ANU rank 99 row)</t>
        </is>
      </c>
      <c r="O24" s="24" t="inlineStr">
        <is>
          <t>ATAR 99 guaranteed entry band; minimum consideration rank 94; compulsory supplementary application form; suitability assessment</t>
        </is>
      </c>
      <c r="P24" s="25" t="inlineStr">
        <is>
          <t>IELTS Academic 6.5 overall, no band below 6.0 (Reading/Writing/Listening/Speaking 6.0); TOEFL iBT 81 overall (R16 W19 L16 S19) for study from 1 Jan 2027 — university-wide UG policy ANUP_000408, no higher requirement listed for Law</t>
        </is>
      </c>
      <c r="Q24" s="24" t="inlineStr">
        <is>
          <t>None published for this course</t>
        </is>
      </c>
      <c r="R24" s="24" t="inlineStr">
        <is>
          <t>Semester 1 2027 intake (Feb): applications close 15 December 2026; Semester 2 2027 intake (Jul): close 15 May 2027</t>
        </is>
      </c>
      <c r="S24" s="24" t="inlineStr">
        <is>
          <t>AUD 57,640 per year</t>
        </is>
      </c>
      <c r="T24" s="24" t="inlineStr">
        <is>
          <t>Not verified this pass; sheet's 'Chancellor's International Scholarship (75%)' unconfirmed</t>
        </is>
      </c>
      <c r="U24" s="24" t="inlineStr">
        <is>
          <t>Student visa (subclass 500) after acceptance - standard Australian process</t>
        </is>
      </c>
      <c r="V24" s="24" t="inlineStr">
        <is>
          <t>Direct online application via ANU (AUD$150 fee per application); current Year 12/IB/NCEA students apply via UAC</t>
        </is>
      </c>
      <c r="W24" s="24" t="inlineStr">
        <is>
          <t>Bachelor of Philosophy (Honours) - Science, program code APHSC, CRICOS 043746B, 192 units. Sheet claim 'fully funded scholarship including fees and stipend' NOT found on the program page - do not repeat without source</t>
        </is>
      </c>
      <c r="X24" s="24" t="inlineStr">
        <is>
          <t>Confirmed</t>
        </is>
      </c>
      <c r="Y24" s="24" t="inlineStr">
        <is>
          <t>Sheet IB 42 low end wrong (43); sheet CBSE 96%/ISC 93% wrong format/values; sheet tuition 45,000-50,000 wrong (57,640); funded-scholarship claim unverified</t>
        </is>
      </c>
      <c r="Z24" s="24" t="inlineStr">
        <is>
          <t>https://programsandcourses.anu.edu.au/program/aphsc</t>
        </is>
      </c>
      <c r="AA24" s="24" t="inlineStr">
        <is>
          <t>IB 43; ATAR 99 (minimum consideration 94); 'Bachelor of Philosophy (Honours) - Science Supplementary Form' is 'compulsory for all applicants'; fee $57,640.00; CRICOS 043746B</t>
        </is>
      </c>
      <c r="AB24" s="24" t="inlineStr">
        <is>
          <t>13 September 2026</t>
        </is>
      </c>
      <c r="AC24" s="25" t="inlineStr"/>
      <c r="AD24" s="24" t="inlineStr">
        <is>
          <t>Pave verification, web-checked</t>
        </is>
      </c>
      <c r="AE24" s="24" t="inlineStr">
        <is>
          <t>Academic transcripts, evidence of English proficiency, passport; per ANU international application portal; plus 'Bachelor of Philosophy (Honours) - Science Supplementary Form' (compulsory for all applicants)</t>
        </is>
      </c>
      <c r="AF24" s="24" t="inlineStr">
        <is>
          <t>S1 2027 close published; supplementary form has program-specific timing</t>
        </is>
      </c>
      <c r="AG24" s="24" t="inlineStr">
        <is>
          <t>2027 (current catalogue year)</t>
        </is>
      </c>
      <c r="AH24" s="24" t="inlineStr">
        <is>
          <t>AUD 150</t>
        </is>
      </c>
      <c r="AI24" s="24" t="inlineStr">
        <is>
          <t>2026-12-15</t>
        </is>
      </c>
      <c r="AJ24" s="24" t="inlineStr">
        <is>
          <t>20.0/20 (ANU rank 99 row; ANU converts CBSE (AISSC) on a 20-point scale: marks in English or Hindi plus best 4 externally examined subjects (A1=4, A2=3.5, B1=3 ... D2=0.5) - NOT a percentage) | ISC: 96 average (ANU rank 99 row)</t>
        </is>
      </c>
    </row>
    <row r="25" ht="42" customHeight="1">
      <c r="A25" s="24" t="inlineStr">
        <is>
          <t>AU-024</t>
        </is>
      </c>
      <c r="B25" s="24" t="inlineStr">
        <is>
          <t>Australian National University (ANU)</t>
        </is>
      </c>
      <c r="C25" s="24" t="inlineStr">
        <is>
          <t>Australia</t>
        </is>
      </c>
      <c r="D25" s="24" t="inlineStr">
        <is>
          <t>Bachelor of Politics, Philosophy &amp; Economics</t>
        </is>
      </c>
      <c r="E25" s="24" t="inlineStr">
        <is>
          <t>Bachelor</t>
        </is>
      </c>
      <c r="F25" s="24" t="inlineStr">
        <is>
          <t>https://programsandcourses.anu.edu.au/program/BPPE</t>
        </is>
      </c>
      <c r="G25" s="24" t="inlineStr">
        <is>
          <t>Go8 / Top Research</t>
        </is>
      </c>
      <c r="H25" s="24" t="inlineStr">
        <is>
          <t>English</t>
        </is>
      </c>
      <c r="I25" s="24" t="inlineStr">
        <is>
          <t>3</t>
        </is>
      </c>
      <c r="J25" s="25" t="inlineStr"/>
      <c r="K25" s="24" t="inlineStr">
        <is>
          <t>38</t>
        </is>
      </c>
      <c r="L25" s="24" t="inlineStr">
        <is>
          <t>Not published as A-level grades; ANU rank 94 required</t>
        </is>
      </c>
      <c r="M25" s="24" t="inlineStr">
        <is>
          <t>18.5/20 (ANU rank 94 row; ANU converts CBSE (AISSC) on a 20-point scale: marks in English or Hindi plus best 4 externally examined subjects (A1=4, A2=3.5, B1=3 ... D2=0.5) - NOT a percentage)</t>
        </is>
      </c>
      <c r="N25" s="24" t="inlineStr">
        <is>
          <t>ANU table row for rank 94 not cleanly published; adjacent rows: rank 92 = 92, rank 95 = 93</t>
        </is>
      </c>
      <c r="O25" s="24" t="inlineStr">
        <is>
          <t>ATAR 94. 'There are no formal program prerequisites'; advanced-level mathematics assumed knowledge</t>
        </is>
      </c>
      <c r="P25" s="25" t="inlineStr">
        <is>
          <t>IELTS Academic 6.5 overall, no band below 6.0 (Reading/Writing/Listening/Speaking 6.0); TOEFL iBT 81 overall (R16 W19 L16 S19) for study from 1 Jan 2027 — university-wide UG policy ANUP_000408, no higher requirement listed for Law</t>
        </is>
      </c>
      <c r="Q25" s="24" t="inlineStr">
        <is>
          <t>None published for this course</t>
        </is>
      </c>
      <c r="R25" s="24" t="inlineStr">
        <is>
          <t>Semester 1 2027 intake (Feb): applications close 15 December 2026; Semester 2 2027 intake (Jul): close 15 May 2027</t>
        </is>
      </c>
      <c r="S25" s="24" t="inlineStr">
        <is>
          <t>AUD 57,640 per year</t>
        </is>
      </c>
      <c r="T25" s="24" t="inlineStr">
        <is>
          <t>Not verified this pass; sheet's 'Chancellor's International Scholarship (75%)' unconfirmed</t>
        </is>
      </c>
      <c r="U25" s="24" t="inlineStr">
        <is>
          <t>Student visa (subclass 500) after acceptance - standard Australian process</t>
        </is>
      </c>
      <c r="V25" s="24" t="inlineStr">
        <is>
          <t>Direct online application via ANU (AUD$150 fee per application); current Year 12/IB/NCEA students apply via UAC</t>
        </is>
      </c>
      <c r="W25" s="24" t="inlineStr">
        <is>
          <t>CRICOS 076183D. Semester 2 commencement possible with restrictions</t>
        </is>
      </c>
      <c r="X25" s="24" t="inlineStr">
        <is>
          <t>Confirmed</t>
        </is>
      </c>
      <c r="Y25" s="24" t="inlineStr">
        <is>
          <t>Sheet ATAR 88 wrong (94); sheet IB 33-37 wrong (38); sheet CBSE 87%/ISC 80% wrong format/values; sheet tuition 43,000-48,000 wrong (57,640)</t>
        </is>
      </c>
      <c r="Z25" s="24" t="inlineStr">
        <is>
          <t>https://programsandcourses.anu.edu.au/program/BPPE</t>
        </is>
      </c>
      <c r="AA25" s="24" t="inlineStr">
        <is>
          <t>CRICOS 076183D; IB 38; ATAR 94; indicative international annual fee $57,640.00; 'There are no formal program prerequisites'</t>
        </is>
      </c>
      <c r="AB25" s="24" t="inlineStr">
        <is>
          <t>13 September 2026</t>
        </is>
      </c>
      <c r="AC25" s="24" t="inlineStr">
        <is>
          <t>yes</t>
        </is>
      </c>
      <c r="AD25" s="24" t="inlineStr">
        <is>
          <t>Pave verification, web-checked</t>
        </is>
      </c>
      <c r="AE25" s="24" t="inlineStr">
        <is>
          <t>Academic transcripts, evidence of English proficiency, passport; per ANU international application portal</t>
        </is>
      </c>
      <c r="AF25" s="24" t="inlineStr">
        <is>
          <t>S1 2027 close published</t>
        </is>
      </c>
      <c r="AG25" s="24" t="inlineStr">
        <is>
          <t>2027 (current catalogue year)</t>
        </is>
      </c>
      <c r="AH25" s="24" t="inlineStr">
        <is>
          <t>AUD 150</t>
        </is>
      </c>
      <c r="AI25" s="24" t="inlineStr">
        <is>
          <t>2026-12-15</t>
        </is>
      </c>
      <c r="AJ25" s="24" t="inlineStr">
        <is>
          <t>18.5/20 (ANU rank 94 row; ANU converts CBSE (AISSC) on a 20-point scale: marks in English or Hindi plus best 4 externally examined subjects (A1=4, A2=3.5, B1=3 ... D2=0.5) - NOT a percentage) | ISC: ANU table row for rank 94 not cleanly published; adjacent rows: rank 92 = 92, rank 95 = 93</t>
        </is>
      </c>
    </row>
    <row r="26" ht="42" customHeight="1">
      <c r="A26" s="24" t="inlineStr">
        <is>
          <t>AU-025</t>
        </is>
      </c>
      <c r="B26" s="24" t="inlineStr">
        <is>
          <t>Monash University</t>
        </is>
      </c>
      <c r="C26" s="24" t="inlineStr">
        <is>
          <t>Australia</t>
        </is>
      </c>
      <c r="D26" s="24" t="inlineStr">
        <is>
          <t>Bachelor of Commerce</t>
        </is>
      </c>
      <c r="E26" s="24" t="inlineStr">
        <is>
          <t>Bachelor</t>
        </is>
      </c>
      <c r="F26" s="24" t="inlineStr">
        <is>
          <t>https://www.monash.edu/study/courses/find-a-course/commerce-b2001</t>
        </is>
      </c>
      <c r="G26" s="24" t="inlineStr">
        <is>
          <t>Go8 / Top Research</t>
        </is>
      </c>
      <c r="H26" s="24" t="inlineStr">
        <is>
          <t>English</t>
        </is>
      </c>
      <c r="I26" s="24" t="inlineStr">
        <is>
          <t>3</t>
        </is>
      </c>
      <c r="J26" s="25" t="inlineStr"/>
      <c r="K26" s="24" t="inlineStr">
        <is>
          <t>31</t>
        </is>
      </c>
      <c r="L26" s="24" t="inlineStr">
        <is>
          <t>11 points from best 3 A Levels (A*=5+1 bonus, A=5, B=4, C=3, D=2, E=1)</t>
        </is>
      </c>
      <c r="M26" s="24" t="inlineStr">
        <is>
          <t>81% - Monash India method: 'Overall average of the best four academic subjects' on the official CBSE Marks Statement / ISC Statement of Marks</t>
        </is>
      </c>
      <c r="N26" s="24" t="inlineStr">
        <is>
          <t>76% - Monash India method: 'Overall average of the best four academic subjects' on the official CBSE Marks Statement / ISC Statement of Marks</t>
        </is>
      </c>
      <c r="O26" s="24" t="inlineStr">
        <is>
          <t>ATAR 87.5 equivalent. Prerequisite subjects: English and Mathematics (course checklist); no admissions test</t>
        </is>
      </c>
      <c r="P26" s="24" t="inlineStr">
        <is>
          <t>IELTS Academic 6.5 overall, minimum band scores L6.0 R6.0 W6.0 S6.0 (Monash English Level A, shown on the course page); equivalent approved tests accepted</t>
        </is>
      </c>
      <c r="Q26" s="24" t="inlineStr">
        <is>
          <t>None published for this course</t>
        </is>
      </c>
      <c r="R26" s="24" t="inlineStr">
        <is>
          <t>No fixed international closing date published; direct applications assessed year-round for February (S1), July (S2) intakes</t>
        </is>
      </c>
      <c r="S26" s="25" t="inlineStr">
        <is>
          <t>A$59,140 per 48 credit points (standard year)</t>
        </is>
      </c>
      <c r="T26" s="24" t="inlineStr">
        <is>
          <t>Monash states 'over 360 types of scholarships' and International Study Grants 'valued at up to $10,000' (course pages); named-scholarship details not verified this pass</t>
        </is>
      </c>
      <c r="U26" s="24" t="inlineStr">
        <is>
          <t>Student visa (subclass 500) - 'If you are an international student, you will need a student visa (subclass 500) to study at Monash'</t>
        </is>
      </c>
      <c r="V26" s="24" t="inlineStr">
        <is>
          <t>Apply directly to Monash online (A$125 applicant fee, or a waiver code); VTAC only if completing Australian Year 12 anywhere or IB in Australia/NZ</t>
        </is>
      </c>
      <c r="W26" s="24" t="inlineStr">
        <is>
          <t>CRICOS 013382G. Intakes: February (S1), July (S2) and November (Actuarial Studies unavailable in November). Clayton campus</t>
        </is>
      </c>
      <c r="X26" s="24" t="inlineStr">
        <is>
          <t>Confirmed</t>
        </is>
      </c>
      <c r="Y26" s="24" t="inlineStr">
        <is>
          <t>Sheet fee upper 'AUD 55,900' wrong for 2027 (A$59,140); sheet 'Rolling' deadline confirmed correct</t>
        </is>
      </c>
      <c r="Z26" s="24" t="inlineStr">
        <is>
          <t>https://www.monash.edu/study/courses/find-a-course/commerce-b2001?international=true</t>
        </is>
      </c>
      <c r="AA26" s="24" t="inlineStr">
        <is>
          <t>2027 entry scores: ATAR 87.5; GCE A Level 11; International Baccalaureate Diploma Programme 31; All India Senior School Certificate Examination 81%; Indian School Certificate Examination 76%. 'The fees for 2027 are: A$59,140'. CRICOS code: 013382G</t>
        </is>
      </c>
      <c r="AB26" s="24" t="inlineStr">
        <is>
          <t>13 September 2026</t>
        </is>
      </c>
      <c r="AC26" s="24" t="inlineStr">
        <is>
          <t>yes</t>
        </is>
      </c>
      <c r="AD26" s="24" t="inlineStr">
        <is>
          <t>Pave verification, web-checked</t>
        </is>
      </c>
      <c r="AE26" s="24" t="inlineStr">
        <is>
          <t>Certified transcripts, passport copy, evidence of English, translations where needed, A$125 applicant fee (per monash.edu/admissions/apply/online)</t>
        </is>
      </c>
      <c r="AF26" s="24" t="inlineStr">
        <is>
          <t>2027 entry requirements shown; no fixed close date published (checked 13 Sep 2026)</t>
        </is>
      </c>
      <c r="AG26" s="24" t="inlineStr">
        <is>
          <t>2027</t>
        </is>
      </c>
      <c r="AH26" s="24" t="inlineStr">
        <is>
          <t>A$125</t>
        </is>
      </c>
      <c r="AI26" s="25" t="inlineStr"/>
      <c r="AJ26" s="24" t="inlineStr">
        <is>
          <t>81% - Monash India method: 'Overall average of the best four academic subjects' on the official CBSE Marks Statement / ISC Statement of Marks | ISC: 76% - Monash India method: 'Overall average of the best four academic subjects' on the official CBSE Marks Statement / ISC Statement of Marks</t>
        </is>
      </c>
    </row>
    <row r="27" ht="42" customHeight="1">
      <c r="A27" s="24" t="inlineStr">
        <is>
          <t>AU-026</t>
        </is>
      </c>
      <c r="B27" s="24" t="inlineStr">
        <is>
          <t>Monash University</t>
        </is>
      </c>
      <c r="C27" s="24" t="inlineStr">
        <is>
          <t>Australia</t>
        </is>
      </c>
      <c r="D27" s="24" t="inlineStr">
        <is>
          <t>Bachelor of Science</t>
        </is>
      </c>
      <c r="E27" s="24" t="inlineStr">
        <is>
          <t>Bachelor</t>
        </is>
      </c>
      <c r="F27" s="24" t="inlineStr">
        <is>
          <t>https://www.monash.edu/study/courses/find-a-course/science-s2000</t>
        </is>
      </c>
      <c r="G27" s="24" t="inlineStr">
        <is>
          <t>Go8 / Top Research</t>
        </is>
      </c>
      <c r="H27" s="24" t="inlineStr">
        <is>
          <t>English</t>
        </is>
      </c>
      <c r="I27" s="24" t="inlineStr">
        <is>
          <t>3</t>
        </is>
      </c>
      <c r="J27" s="25" t="inlineStr"/>
      <c r="K27" s="24" t="inlineStr">
        <is>
          <t>28</t>
        </is>
      </c>
      <c r="L27" s="24" t="inlineStr">
        <is>
          <t>9 points from best 3 A Levels</t>
        </is>
      </c>
      <c r="M27" s="24" t="inlineStr">
        <is>
          <t>75% - Monash India method: 'Overall average of the best four academic subjects' on the official CBSE Marks Statement / ISC Statement of Marks</t>
        </is>
      </c>
      <c r="N27" s="24" t="inlineStr">
        <is>
          <t>70% - Monash India method: 'Overall average of the best four academic subjects' on the official CBSE Marks Statement / ISC Statement of Marks</t>
        </is>
      </c>
      <c r="O27" s="24" t="inlineStr">
        <is>
          <t>ATAR 80 equivalent. Prerequisites: English, Mathematics and a Science (course checklist)</t>
        </is>
      </c>
      <c r="P27" s="24" t="inlineStr">
        <is>
          <t>IELTS Academic 6.5 overall, minimum band scores L6.0 R6.0 W6.0 S6.0 (Monash English Level A, shown on the course page); equivalent approved tests accepted</t>
        </is>
      </c>
      <c r="Q27" s="24" t="inlineStr">
        <is>
          <t>None published for this course</t>
        </is>
      </c>
      <c r="R27" s="24" t="inlineStr">
        <is>
          <t>No fixed international closing date published; direct applications assessed year-round for February (S1), July (S2) intakes</t>
        </is>
      </c>
      <c r="S27" s="25" t="inlineStr">
        <is>
          <t>A$60,040 per 48 credit points</t>
        </is>
      </c>
      <c r="T27" s="24" t="inlineStr">
        <is>
          <t>Monash states 'over 360 types of scholarships' and International Study Grants 'valued at up to $10,000' (course pages); named-scholarship details not verified this pass</t>
        </is>
      </c>
      <c r="U27" s="24" t="inlineStr">
        <is>
          <t>Student visa (subclass 500) - 'If you are an international student, you will need a student visa (subclass 500) to study at Monash'</t>
        </is>
      </c>
      <c r="V27" s="24" t="inlineStr">
        <is>
          <t>Apply directly to Monash online (A$125 applicant fee, or a waiver code); VTAC only if completing Australian Year 12 anywhere or IB in Australia/NZ</t>
        </is>
      </c>
      <c r="W27" s="24" t="inlineStr">
        <is>
          <t>CRICOS 017092G. Intakes Feb (S1), Jul (S2); Malaysia campus October intake also exists</t>
        </is>
      </c>
      <c r="X27" s="24" t="inlineStr">
        <is>
          <t>Confirmed</t>
        </is>
      </c>
      <c r="Y27" s="24" t="inlineStr">
        <is>
          <t>Sheet CBSE 78% wrong (75%); sheet ISC 72% wrong (70%); sheet tuition 50,000-58,000 vs actual 60,040 for 2027</t>
        </is>
      </c>
      <c r="Z27" s="24" t="inlineStr">
        <is>
          <t>https://www.monash.edu/study/courses/find-a-course/science-s2000?international=true</t>
        </is>
      </c>
      <c r="AA27" s="24" t="inlineStr">
        <is>
          <t>2027 entry scores: ATAR 80; GCE A Level 9; IB 28; AISSCE (CBSE) 75%; ISC 70%. 'The fees for 2027 are: A$60,040'. CRICOS code: 017092G</t>
        </is>
      </c>
      <c r="AB27" s="24" t="inlineStr">
        <is>
          <t>13 September 2026</t>
        </is>
      </c>
      <c r="AC27" s="24" t="inlineStr">
        <is>
          <t>yes</t>
        </is>
      </c>
      <c r="AD27" s="24" t="inlineStr">
        <is>
          <t>Pave verification, web-checked</t>
        </is>
      </c>
      <c r="AE27" s="24" t="inlineStr">
        <is>
          <t>Certified transcripts, passport copy, evidence of English, translations where needed, A$125 applicant fee (per monash.edu/admissions/apply/online)</t>
        </is>
      </c>
      <c r="AF27" s="24" t="inlineStr">
        <is>
          <t>2027 requirements shown; no fixed close date published</t>
        </is>
      </c>
      <c r="AG27" s="24" t="inlineStr">
        <is>
          <t>2027</t>
        </is>
      </c>
      <c r="AH27" s="24" t="inlineStr">
        <is>
          <t>A$125</t>
        </is>
      </c>
      <c r="AI27" s="25" t="inlineStr"/>
      <c r="AJ27" s="24" t="inlineStr">
        <is>
          <t>75% - Monash India method: 'Overall average of the best four academic subjects' on the official CBSE Marks Statement / ISC Statement of Marks | ISC: 70% - Monash India method: 'Overall average of the best four academic subjects' on the official CBSE Marks Statement / ISC Statement of Marks</t>
        </is>
      </c>
    </row>
    <row r="28" ht="42" customHeight="1">
      <c r="A28" s="24" t="inlineStr">
        <is>
          <t>AU-027</t>
        </is>
      </c>
      <c r="B28" s="24" t="inlineStr">
        <is>
          <t>Monash University</t>
        </is>
      </c>
      <c r="C28" s="24" t="inlineStr">
        <is>
          <t>Australia</t>
        </is>
      </c>
      <c r="D28" s="24" t="inlineStr">
        <is>
          <t>Bachelor of Engineering (Honours)</t>
        </is>
      </c>
      <c r="E28" s="24" t="inlineStr">
        <is>
          <t>Bachelor</t>
        </is>
      </c>
      <c r="F28" s="24" t="inlineStr">
        <is>
          <t>https://www.monash.edu/study/courses/find-a-course/engineering-e3001</t>
        </is>
      </c>
      <c r="G28" s="24" t="inlineStr">
        <is>
          <t>Go8 / Top Research</t>
        </is>
      </c>
      <c r="H28" s="24" t="inlineStr">
        <is>
          <t>English</t>
        </is>
      </c>
      <c r="I28" s="24" t="inlineStr">
        <is>
          <t>4</t>
        </is>
      </c>
      <c r="J28" s="24" t="inlineStr">
        <is>
          <t>Prerequisite subjects: English, Mathematics and Science (course checklist)</t>
        </is>
      </c>
      <c r="K28" s="24" t="inlineStr">
        <is>
          <t>30</t>
        </is>
      </c>
      <c r="L28" s="24" t="inlineStr">
        <is>
          <t>10 points from best 3 A Levels</t>
        </is>
      </c>
      <c r="M28" s="24" t="inlineStr">
        <is>
          <t>80% - Monash India method: 'Overall average of the best four academic subjects' on the official CBSE Marks Statement / ISC Statement of Marks</t>
        </is>
      </c>
      <c r="N28" s="24" t="inlineStr">
        <is>
          <t>75% - Monash India method: 'Overall average of the best four academic subjects' on the official CBSE Marks Statement / ISC Statement of Marks</t>
        </is>
      </c>
      <c r="O28" s="24" t="inlineStr">
        <is>
          <t>ATAR 85 equivalent; common first year then specialisation; no admissions test</t>
        </is>
      </c>
      <c r="P28" s="24" t="inlineStr">
        <is>
          <t>IELTS Academic 6.5 overall, minimum band scores L6.0 R6.0 W6.0 S6.0 (Monash English Level A, shown on the course page); equivalent approved tests accepted</t>
        </is>
      </c>
      <c r="Q28" s="24" t="inlineStr">
        <is>
          <t>None published for this course</t>
        </is>
      </c>
      <c r="R28" s="24" t="inlineStr">
        <is>
          <t>No fixed international closing date published; direct applications assessed year-round for February (S1), July (S2) intakes</t>
        </is>
      </c>
      <c r="S28" s="25" t="inlineStr">
        <is>
          <t>A$63,040 per 48 credit points</t>
        </is>
      </c>
      <c r="T28" s="24" t="inlineStr">
        <is>
          <t>Monash states 'over 360 types of scholarships' and International Study Grants 'valued at up to $10,000' (course pages); named-scholarship details not verified this pass</t>
        </is>
      </c>
      <c r="U28" s="24" t="inlineStr">
        <is>
          <t>Student visa (subclass 500) - 'If you are an international student, you will need a student visa (subclass 500) to study at Monash'</t>
        </is>
      </c>
      <c r="V28" s="24" t="inlineStr">
        <is>
          <t>Apply directly to Monash online (A$125 applicant fee, or a waiver code); VTAC only if completing Australian Year 12 anywhere or IB in Australia/NZ</t>
        </is>
      </c>
      <c r="W28" s="24" t="inlineStr">
        <is>
          <t>CRICOS 001722B. Intakes Feb (S1), Jul (S2); Biomedical Engineering not offered in July</t>
        </is>
      </c>
      <c r="X28" s="24" t="inlineStr">
        <is>
          <t>Confirmed</t>
        </is>
      </c>
      <c r="Y28" s="24" t="inlineStr">
        <is>
          <t>Sheet URL dead; sheet ATAR 93+/IB 36-40/A-level AAB/CBSE 90%/ISC 85% all wrong - published 2027 scores are much lower (ATAR 85, IB 30, CBSE 80%); sheet tuition 54,000-62,000 vs actual 63,040</t>
        </is>
      </c>
      <c r="Z28" s="24" t="inlineStr">
        <is>
          <t>https://www.monash.edu/study/courses/find-a-course/engineering-e3001?international=true</t>
        </is>
      </c>
      <c r="AA28" s="24" t="inlineStr">
        <is>
          <t>2027 entry scores: ATAR 85; GCE A Level 10; IB 30; AISSCE (CBSE) 80%; ISC 75%. 'The fees for 2027 are: A$63,040'. CRICOS code: 001722B</t>
        </is>
      </c>
      <c r="AB28" s="24" t="inlineStr">
        <is>
          <t>13 September 2026</t>
        </is>
      </c>
      <c r="AC28" s="25" t="inlineStr"/>
      <c r="AD28" s="24" t="inlineStr">
        <is>
          <t>Pave verification, web-checked</t>
        </is>
      </c>
      <c r="AE28" s="24" t="inlineStr">
        <is>
          <t>Certified transcripts, passport copy, evidence of English, translations where needed, A$125 applicant fee (per monash.edu/admissions/apply/online)</t>
        </is>
      </c>
      <c r="AF28" s="24" t="inlineStr">
        <is>
          <t>2027 requirements shown; no fixed close date published</t>
        </is>
      </c>
      <c r="AG28" s="24" t="inlineStr">
        <is>
          <t>2027</t>
        </is>
      </c>
      <c r="AH28" s="24" t="inlineStr">
        <is>
          <t>A$125</t>
        </is>
      </c>
      <c r="AI28" s="25" t="inlineStr"/>
      <c r="AJ28" s="24" t="inlineStr">
        <is>
          <t>80% - Monash India method: 'Overall average of the best four academic subjects' on the official CBSE Marks Statement / ISC Statement of Marks | ISC: 75% - Monash India method: 'Overall average of the best four academic subjects' on the official CBSE Marks Statement / ISC Statement of Marks</t>
        </is>
      </c>
    </row>
    <row r="29" ht="42" customHeight="1">
      <c r="A29" s="24" t="inlineStr">
        <is>
          <t>AU-028</t>
        </is>
      </c>
      <c r="B29" s="24" t="inlineStr">
        <is>
          <t>Monash University</t>
        </is>
      </c>
      <c r="C29" s="24" t="inlineStr">
        <is>
          <t>Australia</t>
        </is>
      </c>
      <c r="D29" s="24" t="inlineStr">
        <is>
          <t>Bachelor of Computer Science</t>
        </is>
      </c>
      <c r="E29" s="24" t="inlineStr">
        <is>
          <t>Bachelor</t>
        </is>
      </c>
      <c r="F29" s="24" t="inlineStr">
        <is>
          <t>https://www.monash.edu/study/courses/find-a-course/computer-science-c2001</t>
        </is>
      </c>
      <c r="G29" s="24" t="inlineStr">
        <is>
          <t>Go8 / Top Research</t>
        </is>
      </c>
      <c r="H29" s="24" t="inlineStr">
        <is>
          <t>English</t>
        </is>
      </c>
      <c r="I29" s="24" t="inlineStr">
        <is>
          <t>3</t>
        </is>
      </c>
      <c r="J29" s="24" t="inlineStr">
        <is>
          <t>Prerequisite subjects: English and Mathematics (course checklist)</t>
        </is>
      </c>
      <c r="K29" s="24" t="inlineStr">
        <is>
          <t>28</t>
        </is>
      </c>
      <c r="L29" s="24" t="inlineStr">
        <is>
          <t>9 points from best 3 A Levels</t>
        </is>
      </c>
      <c r="M29" s="24" t="inlineStr">
        <is>
          <t>75% - Monash India method: 'Overall average of the best four academic subjects' on the official CBSE Marks Statement / ISC Statement of Marks</t>
        </is>
      </c>
      <c r="N29" s="24" t="inlineStr">
        <is>
          <t>70% - Monash India method: 'Overall average of the best four academic subjects' on the official CBSE Marks Statement / ISC Statement of Marks</t>
        </is>
      </c>
      <c r="O29" s="24" t="inlineStr">
        <is>
          <t>ATAR 80 equivalent; no admissions test</t>
        </is>
      </c>
      <c r="P29" s="24" t="inlineStr">
        <is>
          <t>IELTS Academic 6.5 overall, minimum band scores L6.0 R6.0 W6.0 S6.0 (Monash English Level A, shown on the course page); equivalent approved tests accepted</t>
        </is>
      </c>
      <c r="Q29" s="24" t="inlineStr">
        <is>
          <t>None published for this course</t>
        </is>
      </c>
      <c r="R29" s="24" t="inlineStr">
        <is>
          <t>No fixed international closing date published; direct applications assessed year-round for February (S1), July (S2) intakes</t>
        </is>
      </c>
      <c r="S29" s="25" t="inlineStr">
        <is>
          <t>A$58,940 per 48 credit points</t>
        </is>
      </c>
      <c r="T29" s="24" t="inlineStr">
        <is>
          <t>Monash states 'over 360 types of scholarships' and International Study Grants 'valued at up to $10,000' (course pages); named-scholarship details not verified this pass</t>
        </is>
      </c>
      <c r="U29" s="24" t="inlineStr">
        <is>
          <t>Student visa (subclass 500) - 'If you are an international student, you will need a student visa (subclass 500) to study at Monash'</t>
        </is>
      </c>
      <c r="V29" s="24" t="inlineStr">
        <is>
          <t>Apply directly to Monash online (A$125 applicant fee, or a waiver code); VTAC only if completing Australian Year 12 anywhere or IB in Australia/NZ</t>
        </is>
      </c>
      <c r="W29" s="24" t="inlineStr">
        <is>
          <t>CRICOS 079336A. Intakes Feb (S1), Jul (S2). Clayton (Malaysia campus also offered)</t>
        </is>
      </c>
      <c r="X29" s="24" t="inlineStr">
        <is>
          <t>Confirmed</t>
        </is>
      </c>
      <c r="Y29" s="24" t="inlineStr">
        <is>
          <t>Sheet ATAR 90/IB 34-38/A-level ABB/CBSE 88%/ISC 82% all wrong - published 2027 scores are ATAR 80, IB 28, CBSE 75%, ISC 70%; sheet tuition 52,000-58,000 vs actual 58,940</t>
        </is>
      </c>
      <c r="Z29" s="24" t="inlineStr">
        <is>
          <t>https://www.monash.edu/study/courses/find-a-course/computer-science-c2001?international=true</t>
        </is>
      </c>
      <c r="AA29" s="24" t="inlineStr">
        <is>
          <t>2027 entry scores: ATAR 80; GCE A Level 9; IB 28; AISSCE (CBSE) 75%; ISC 70%. 'The fees for 2027 are: A$58,940'. CRICOS code: 079336A</t>
        </is>
      </c>
      <c r="AB29" s="24" t="inlineStr">
        <is>
          <t>13 September 2026</t>
        </is>
      </c>
      <c r="AC29" s="24" t="inlineStr">
        <is>
          <t>yes</t>
        </is>
      </c>
      <c r="AD29" s="24" t="inlineStr">
        <is>
          <t>Pave verification, web-checked</t>
        </is>
      </c>
      <c r="AE29" s="24" t="inlineStr">
        <is>
          <t>Certified transcripts, passport copy, evidence of English, translations where needed, A$125 applicant fee (per monash.edu/admissions/apply/online)</t>
        </is>
      </c>
      <c r="AF29" s="24" t="inlineStr">
        <is>
          <t>2027 requirements shown; no fixed close date published</t>
        </is>
      </c>
      <c r="AG29" s="24" t="inlineStr">
        <is>
          <t>2027</t>
        </is>
      </c>
      <c r="AH29" s="24" t="inlineStr">
        <is>
          <t>A$125</t>
        </is>
      </c>
      <c r="AI29" s="25" t="inlineStr"/>
      <c r="AJ29" s="24" t="inlineStr">
        <is>
          <t>75% - Monash India method: 'Overall average of the best four academic subjects' on the official CBSE Marks Statement / ISC Statement of Marks | ISC: 70% - Monash India method: 'Overall average of the best four academic subjects' on the official CBSE Marks Statement / ISC Statement of Marks</t>
        </is>
      </c>
    </row>
    <row r="30" ht="42" customHeight="1">
      <c r="A30" s="24" t="inlineStr">
        <is>
          <t>AU-029</t>
        </is>
      </c>
      <c r="B30" s="24" t="inlineStr">
        <is>
          <t>Monash University</t>
        </is>
      </c>
      <c r="C30" s="24" t="inlineStr">
        <is>
          <t>Australia</t>
        </is>
      </c>
      <c r="D30" s="24" t="inlineStr">
        <is>
          <t>Bachelor of Arts</t>
        </is>
      </c>
      <c r="E30" s="24" t="inlineStr">
        <is>
          <t>Bachelor</t>
        </is>
      </c>
      <c r="F30" s="24" t="inlineStr">
        <is>
          <t>https://www.monash.edu/study/courses/find-a-course/arts-a2000</t>
        </is>
      </c>
      <c r="G30" s="24" t="inlineStr">
        <is>
          <t>Go8 / Top Research</t>
        </is>
      </c>
      <c r="H30" s="24" t="inlineStr">
        <is>
          <t>English</t>
        </is>
      </c>
      <c r="I30" s="24" t="inlineStr">
        <is>
          <t>3</t>
        </is>
      </c>
      <c r="J30" s="25" t="inlineStr"/>
      <c r="K30" s="24" t="inlineStr">
        <is>
          <t>26</t>
        </is>
      </c>
      <c r="L30" s="24" t="inlineStr">
        <is>
          <t>8 points from best 3 A Levels</t>
        </is>
      </c>
      <c r="M30" s="24" t="inlineStr">
        <is>
          <t>70% - Monash India method: 'Overall average of the best four academic subjects' on the official CBSE Marks Statement / ISC Statement of Marks</t>
        </is>
      </c>
      <c r="N30" s="24" t="inlineStr">
        <is>
          <t>65% - Monash India method: 'Overall average of the best four academic subjects' on the official CBSE Marks Statement / ISC Statement of Marks</t>
        </is>
      </c>
      <c r="O30" s="24" t="inlineStr">
        <is>
          <t>ATAR 75 equivalent; English prerequisite; no admissions test</t>
        </is>
      </c>
      <c r="P30" s="24" t="inlineStr">
        <is>
          <t>IELTS Academic 6.5 overall, minimum band scores L6.0 R6.0 W6.0 S6.0 (Monash English Level A, shown on the course page); equivalent approved tests accepted</t>
        </is>
      </c>
      <c r="Q30" s="24" t="inlineStr">
        <is>
          <t>None published for this course</t>
        </is>
      </c>
      <c r="R30" s="24" t="inlineStr">
        <is>
          <t>No fixed international closing date published; direct applications assessed year-round for February (S1), July (S2) intakes</t>
        </is>
      </c>
      <c r="S30" s="25" t="inlineStr">
        <is>
          <t>A$47,340 per 48 credit points</t>
        </is>
      </c>
      <c r="T30" s="24" t="inlineStr">
        <is>
          <t>Monash states 'over 360 types of scholarships' and International Study Grants 'valued at up to $10,000' (course pages); named-scholarship details not verified this pass</t>
        </is>
      </c>
      <c r="U30" s="24" t="inlineStr">
        <is>
          <t>Student visa (subclass 500) - 'If you are an international student, you will need a student visa (subclass 500) to study at Monash'</t>
        </is>
      </c>
      <c r="V30" s="24" t="inlineStr">
        <is>
          <t>Apply directly to Monash online (A$125 applicant fee, or a waiver code); VTAC only if completing Australian Year 12 anywhere or IB in Australia/NZ</t>
        </is>
      </c>
      <c r="W30" s="24" t="inlineStr">
        <is>
          <t>CRICOS 075404D. Intakes Feb (S1), Jul (S2). Caulfield and Clayton campuses</t>
        </is>
      </c>
      <c r="X30" s="24" t="inlineStr">
        <is>
          <t>Confirmed</t>
        </is>
      </c>
      <c r="Y30" s="24" t="inlineStr">
        <is>
          <t>Sheet ATAR 68 wrong (75); sheet CBSE 75% wrong (70%); sheet ISC 68% wrong (65%)</t>
        </is>
      </c>
      <c r="Z30" s="24" t="inlineStr">
        <is>
          <t>https://www.monash.edu/study/courses/find-a-course/arts-a2000?international=true</t>
        </is>
      </c>
      <c r="AA30" s="24" t="inlineStr">
        <is>
          <t>2027 entry scores: ATAR 75; GCE A Level 8; IB 26; AISSCE (CBSE) 70%; ISC 65%. 'The fees for 2027 are: A$47,340'. CRICOS code: 075404D</t>
        </is>
      </c>
      <c r="AB30" s="24" t="inlineStr">
        <is>
          <t>13 September 2026</t>
        </is>
      </c>
      <c r="AC30" s="24" t="inlineStr">
        <is>
          <t>yes</t>
        </is>
      </c>
      <c r="AD30" s="24" t="inlineStr">
        <is>
          <t>Pave verification, web-checked</t>
        </is>
      </c>
      <c r="AE30" s="24" t="inlineStr">
        <is>
          <t>Certified transcripts, passport copy, evidence of English, translations where needed, A$125 applicant fee (per monash.edu/admissions/apply/online)</t>
        </is>
      </c>
      <c r="AF30" s="24" t="inlineStr">
        <is>
          <t>2027 requirements shown; no fixed close date published</t>
        </is>
      </c>
      <c r="AG30" s="24" t="inlineStr">
        <is>
          <t>2027</t>
        </is>
      </c>
      <c r="AH30" s="24" t="inlineStr">
        <is>
          <t>A$125</t>
        </is>
      </c>
      <c r="AI30" s="25" t="inlineStr"/>
      <c r="AJ30" s="24" t="inlineStr">
        <is>
          <t>70% - Monash India method: 'Overall average of the best four academic subjects' on the official CBSE Marks Statement / ISC Statement of Marks | ISC: 65% - Monash India method: 'Overall average of the best four academic subjects' on the official CBSE Marks Statement / ISC Statement of Marks</t>
        </is>
      </c>
    </row>
    <row r="31" ht="42" customHeight="1">
      <c r="A31" s="24" t="inlineStr">
        <is>
          <t>AU-030</t>
        </is>
      </c>
      <c r="B31" s="24" t="inlineStr">
        <is>
          <t>Monash University</t>
        </is>
      </c>
      <c r="C31" s="24" t="inlineStr">
        <is>
          <t>Australia</t>
        </is>
      </c>
      <c r="D31" s="24" t="inlineStr">
        <is>
          <t>Bachelor of Law (LLB)</t>
        </is>
      </c>
      <c r="E31" s="24" t="inlineStr">
        <is>
          <t>Bachelor</t>
        </is>
      </c>
      <c r="F31" s="24" t="inlineStr">
        <is>
          <t>https://www.monash.edu/study/courses/find-a-course/laws-l3001</t>
        </is>
      </c>
      <c r="G31" s="24" t="inlineStr">
        <is>
          <t>Go8 / Top Research</t>
        </is>
      </c>
      <c r="H31" s="24" t="inlineStr">
        <is>
          <t>English</t>
        </is>
      </c>
      <c r="I31" s="24" t="inlineStr">
        <is>
          <t>4.25 (may be accelerated to 4; part-time available)</t>
        </is>
      </c>
      <c r="J31" s="25" t="inlineStr"/>
      <c r="K31" s="24" t="inlineStr">
        <is>
          <t>36</t>
        </is>
      </c>
      <c r="L31" s="24" t="inlineStr">
        <is>
          <t>13 points from best 3 A Levels</t>
        </is>
      </c>
      <c r="M31" s="24" t="inlineStr">
        <is>
          <t>85% - Monash India method: 'Overall average of the best four academic subjects' on the official CBSE Marks Statement / ISC Statement of Marks</t>
        </is>
      </c>
      <c r="N31" s="24" t="inlineStr">
        <is>
          <t>80% - Monash India method: 'Overall average of the best four academic subjects' on the official CBSE Marks Statement / ISC Statement of Marks</t>
        </is>
      </c>
      <c r="O31" s="24" t="inlineStr">
        <is>
          <t>ATAR 95 equivalent; no LSAT/LNAT-style admissions test for direct entry</t>
        </is>
      </c>
      <c r="P31" s="24" t="inlineStr">
        <is>
          <t>IELTS Academic 7.0 overall, minimum bands L6.5 R6.5 W6.5 S6.5 (Monash English Level C, shown on the course page)</t>
        </is>
      </c>
      <c r="Q31" s="24" t="inlineStr">
        <is>
          <t>None published for this course</t>
        </is>
      </c>
      <c r="R31" s="24" t="inlineStr">
        <is>
          <t>No fixed international closing date published; direct applications assessed year-round for February (S1), July (S2) intakes</t>
        </is>
      </c>
      <c r="S31" s="25" t="inlineStr">
        <is>
          <t>A$58,540 per 48 credit points</t>
        </is>
      </c>
      <c r="T31" s="24" t="inlineStr">
        <is>
          <t>Monash states 'over 360 types of scholarships' and International Study Grants 'valued at up to $10,000' (course pages); named-scholarship details not verified this pass</t>
        </is>
      </c>
      <c r="U31" s="24" t="inlineStr">
        <is>
          <t>Student visa (subclass 500) - 'If you are an international student, you will need a student visa (subclass 500) to study at Monash'</t>
        </is>
      </c>
      <c r="V31" s="24" t="inlineStr">
        <is>
          <t>Apply directly to Monash online (A$125 applicant fee, or a waiver code); VTAC only if completing Australian Year 12 anywhere or IB in Australia/NZ</t>
        </is>
      </c>
      <c r="W31" s="24" t="inlineStr">
        <is>
          <t>Actual course: Bachelor of Laws (Honours), code L3001. CRICOS 080585G. Intakes Feb (S1), Jul (S2). Clayton</t>
        </is>
      </c>
      <c r="X31" s="24" t="inlineStr">
        <is>
          <t>Confirmed</t>
        </is>
      </c>
      <c r="Y31" s="24" t="inlineStr">
        <is>
          <t>Sheet URL dead/wrong code; sheet duration 5 wrong (4.25); sheet IB 38-42 wrong (36); sheet CBSE 93%/ISC 88% wrong (85%/80%); sheet tuition 54,000-62,000 vs actual 58,540</t>
        </is>
      </c>
      <c r="Z31" s="24" t="inlineStr">
        <is>
          <t>https://www.monash.edu/study/courses/find-a-course/laws-l3001?international=true</t>
        </is>
      </c>
      <c r="AA31" s="24" t="inlineStr">
        <is>
          <t>2027 entry scores: ATAR 95; GCE A Level 13; IB 36; AISSCE (CBSE) 85%; ISC 80%. English Level C: '7.0 overall score for IELTS (Academic), with minimum band scores ... 6.5'. 'The fees for 2027 are: A$58,540'. CRICOS code: 080585G</t>
        </is>
      </c>
      <c r="AB31" s="24" t="inlineStr">
        <is>
          <t>13 September 2026</t>
        </is>
      </c>
      <c r="AC31" s="25" t="inlineStr"/>
      <c r="AD31" s="24" t="inlineStr">
        <is>
          <t>Pave verification, web-checked</t>
        </is>
      </c>
      <c r="AE31" s="24" t="inlineStr">
        <is>
          <t>Certified transcripts, passport copy, evidence of English, translations where needed, A$125 applicant fee (per monash.edu/admissions/apply/online)</t>
        </is>
      </c>
      <c r="AF31" s="24" t="inlineStr">
        <is>
          <t>2027 requirements shown; no fixed close date published</t>
        </is>
      </c>
      <c r="AG31" s="24" t="inlineStr">
        <is>
          <t>2027</t>
        </is>
      </c>
      <c r="AH31" s="24" t="inlineStr">
        <is>
          <t>A$125</t>
        </is>
      </c>
      <c r="AI31" s="25" t="inlineStr"/>
      <c r="AJ31" s="24" t="inlineStr">
        <is>
          <t>85% - Monash India method: 'Overall average of the best four academic subjects' on the official CBSE Marks Statement / ISC Statement of Marks | ISC: 80% - Monash India method: 'Overall average of the best four academic subjects' on the official CBSE Marks Statement / ISC Statement of Marks</t>
        </is>
      </c>
    </row>
    <row r="32" ht="42" customHeight="1">
      <c r="A32" s="24" t="inlineStr">
        <is>
          <t>AU-031</t>
        </is>
      </c>
      <c r="B32" s="24" t="inlineStr">
        <is>
          <t>University of Queensland (UQ)</t>
        </is>
      </c>
      <c r="C32" s="24" t="inlineStr">
        <is>
          <t>Australia</t>
        </is>
      </c>
      <c r="D32" s="24" t="inlineStr">
        <is>
          <t>Bachelor of Commerce</t>
        </is>
      </c>
      <c r="E32" s="24" t="inlineStr">
        <is>
          <t>Bachelor</t>
        </is>
      </c>
      <c r="F32" s="24" t="inlineStr">
        <is>
          <t>https://study.uq.edu.au/study-options/programs/bachelor-commerce-2336</t>
        </is>
      </c>
      <c r="G32" s="24" t="inlineStr">
        <is>
          <t>Go8 / Top Research</t>
        </is>
      </c>
      <c r="H32" s="24" t="inlineStr">
        <is>
          <t>English</t>
        </is>
      </c>
      <c r="I32" s="24" t="inlineStr">
        <is>
          <t>3</t>
        </is>
      </c>
      <c r="J32" s="25" t="inlineStr"/>
      <c r="K32" s="24" t="inlineStr">
        <is>
          <t>32 (international, S1 2027; domestic guide shows ATAR 82 / IB 31)</t>
        </is>
      </c>
      <c r="L32" s="24" t="inlineStr">
        <is>
          <t>10 - aggregate of best 3 A Levels (A*=6, A=5, B=4, C=3, D=2, E=1; AS = half)</t>
        </is>
      </c>
      <c r="M32" s="24" t="inlineStr">
        <is>
          <t>70% - UQ India method: 'All India Senior School Certificate Examination (CBSE) and Indian Certificate of Secondary Education (ICSE) - grade average of 4 best subjects converted to a percentage'</t>
        </is>
      </c>
      <c r="N32" s="24" t="inlineStr">
        <is>
          <t>Not listed separately - UQ groups CBSE and ICSE at the same score (70%); India State Boards (6 approved boards) 85%</t>
        </is>
      </c>
      <c r="O32" s="24" t="inlineStr">
        <is>
          <t>Prerequisites: General English subject (Units 3&amp;4, C) and Mathematical Methods (Units 3&amp;4, C) - IB: Maths AA(SL/HL) or AI(SL/HL); CBSE: Mathematics/Applied Mathematics. No admissions test</t>
        </is>
      </c>
      <c r="P32" s="24" t="inlineStr">
        <is>
          <t>IELTS Academic 6.5 overall; R6.0 W6.0 S6.0 L6.0 (program page); TOEFL iBT 87 (L19 R19 W21 S19); PTE 64</t>
        </is>
      </c>
      <c r="Q32" s="24" t="inlineStr">
        <is>
          <t>None published for this course</t>
        </is>
      </c>
      <c r="R32" s="24" t="inlineStr">
        <is>
          <t>S1 (Feb) commencement: close 30 November of the previous year; S2 (Jul) commencement: close 31 May of the year of commencement</t>
        </is>
      </c>
      <c r="S32" s="24" t="inlineStr">
        <is>
          <t>AUD 56,800 per year</t>
        </is>
      </c>
      <c r="T32" s="24" t="inlineStr">
        <is>
          <t>Program pages state 'Scholarships available'; named international UG scholarships not verified this pass</t>
        </is>
      </c>
      <c r="U32" s="24" t="inlineStr">
        <is>
          <t>Student visa (subclass 500) after acceptance</t>
        </is>
      </c>
      <c r="V32" s="24" t="inlineStr">
        <is>
          <t>Direct online via UQ applications portal (apply.uq.edu.au) or a UQ-approved agent; QTAC if studying Australian Year 12 or IB in Australia</t>
        </is>
      </c>
      <c r="W32" s="24" t="inlineStr">
        <is>
          <t>CRICOS 001944K. Intakes: Semester 1 (22 Feb 2027) and Semester 2 (26 Jul 2027)</t>
        </is>
      </c>
      <c r="X32" s="24" t="inlineStr">
        <is>
          <t>Confirmed</t>
        </is>
      </c>
      <c r="Y32" s="24" t="inlineStr">
        <is>
          <t>Sheet CBSE 83% wrong (70%); sheet ISC 76% not published (grouped with CBSE at 70%); sheet tuition 54,096 is not the 2027 figure (56,800)</t>
        </is>
      </c>
      <c r="Z32" s="25" t="inlineStr">
        <is>
          <t>https://study.uq.edu.au/study-options/programs/bachelor-commerce-2336 (entry-requirements selector, S1 2027, India)</t>
        </is>
      </c>
      <c r="AA32" s="24" t="inlineStr">
        <is>
          <t>Minimum entry score S1 2027: IB Diploma 32; GCE A and AS Levels 10; 'All India Senior School Certificate Examination (CBSE) and Indian Certificate of Secondary Education (ICSE)' 70; fee 'AUD $56,800' for 2027; CRICOS 001944K</t>
        </is>
      </c>
      <c r="AB32" s="24" t="inlineStr">
        <is>
          <t>13 September 2026</t>
        </is>
      </c>
      <c r="AC32" s="24" t="inlineStr">
        <is>
          <t>yes</t>
        </is>
      </c>
      <c r="AD32" s="24" t="inlineStr">
        <is>
          <t>Pave verification, web-checked</t>
        </is>
      </c>
      <c r="AE32" s="24" t="inlineStr">
        <is>
          <t>Transcripts, English test evidence, passport - via apply.uq.edu.au</t>
        </is>
      </c>
      <c r="AF32" s="24" t="inlineStr">
        <is>
          <t>For S1 (22 Feb 2027) start; S2 2027 closes 2027-05-31</t>
        </is>
      </c>
      <c r="AG32" s="24" t="inlineStr">
        <is>
          <t>2027</t>
        </is>
      </c>
      <c r="AH32" s="24" t="inlineStr">
        <is>
          <t>Application fee not clearly published on official pages checked 13 Sep 2026 (UQ's non-award page cites A$150/application; older UG paper form cited A$100)</t>
        </is>
      </c>
      <c r="AI32" s="25" t="inlineStr">
        <is>
          <t>2026-11-30</t>
        </is>
      </c>
      <c r="AJ32" s="24" t="inlineStr">
        <is>
          <t>70% - UQ India method: 'All India Senior School Certificate Examination (CBSE) and Indian Certificate of Secondary Education (ICSE) - grade average of 4 best subjects converted to a percentage' | ISC: Not listed separately - UQ groups CBSE and ICSE at the same score (70%); India State Boards (6 approved boards) 85%</t>
        </is>
      </c>
    </row>
    <row r="33" ht="42" customHeight="1">
      <c r="A33" s="24" t="inlineStr">
        <is>
          <t>AU-032</t>
        </is>
      </c>
      <c r="B33" s="24" t="inlineStr">
        <is>
          <t>University of Queensland (UQ)</t>
        </is>
      </c>
      <c r="C33" s="24" t="inlineStr">
        <is>
          <t>Australia</t>
        </is>
      </c>
      <c r="D33" s="24" t="inlineStr">
        <is>
          <t>Bachelor of Business Management</t>
        </is>
      </c>
      <c r="E33" s="24" t="inlineStr">
        <is>
          <t>Bachelor</t>
        </is>
      </c>
      <c r="F33" s="24" t="inlineStr">
        <is>
          <t>https://study.uq.edu.au/study-options/programs/bachelor-business-management-2171</t>
        </is>
      </c>
      <c r="G33" s="24" t="inlineStr">
        <is>
          <t>Go8 / Top Research</t>
        </is>
      </c>
      <c r="H33" s="24" t="inlineStr">
        <is>
          <t>English</t>
        </is>
      </c>
      <c r="I33" s="24" t="inlineStr">
        <is>
          <t>3</t>
        </is>
      </c>
      <c r="J33" s="25" t="inlineStr"/>
      <c r="K33" s="24" t="inlineStr">
        <is>
          <t>27.75 (international, S1 2027)</t>
        </is>
      </c>
      <c r="L33" s="24" t="inlineStr">
        <is>
          <t>5.5 - aggregate of best 3 (or 2) A Levels</t>
        </is>
      </c>
      <c r="M33" s="24" t="inlineStr">
        <is>
          <t>70% - UQ India method: 'All India Senior School Certificate Examination (CBSE) and Indian Certificate of Secondary Education (ICSE) - grade average of 4 best subjects converted to a percentage'</t>
        </is>
      </c>
      <c r="N33" s="24" t="inlineStr">
        <is>
          <t>Not listed separately - grouped with CBSE at 70%; India State Boards 75%</t>
        </is>
      </c>
      <c r="O33" s="24" t="inlineStr">
        <is>
          <t>Prerequisites: General English (Units 3&amp;4, C) and one of General Maths / Maths Methods / Specialist Maths (Units 3&amp;4, C). No admissions test</t>
        </is>
      </c>
      <c r="P33" s="24" t="inlineStr">
        <is>
          <t>IELTS Academic 6.5 overall; R6.0 W6.0 S6.0 L6.0 (program page); TOEFL iBT 87 (L19 R19 W21 S19); PTE 64</t>
        </is>
      </c>
      <c r="Q33" s="24" t="inlineStr">
        <is>
          <t>None published for this course</t>
        </is>
      </c>
      <c r="R33" s="24" t="inlineStr">
        <is>
          <t>S1 (Feb) commencement: close 30 November of the previous year; S2 (Jul) commencement: close 31 May of the year of commencement</t>
        </is>
      </c>
      <c r="S33" s="24" t="inlineStr">
        <is>
          <t>AUD 56,800 per year</t>
        </is>
      </c>
      <c r="T33" s="24" t="inlineStr">
        <is>
          <t>Program pages state 'Scholarships available'; named international UG scholarships not verified this pass</t>
        </is>
      </c>
      <c r="U33" s="24" t="inlineStr">
        <is>
          <t>Student visa (subclass 500) after acceptance</t>
        </is>
      </c>
      <c r="V33" s="24" t="inlineStr">
        <is>
          <t>Direct online via UQ applications portal (apply.uq.edu.au) or a UQ-approved agent; QTAC if studying Australian Year 12 or IB in Australia</t>
        </is>
      </c>
      <c r="W33" s="24" t="inlineStr">
        <is>
          <t>CRICOS 019886A. Intakes S1 (22 Feb 2027), S2 (26 Jul 2027). St Lucia</t>
        </is>
      </c>
      <c r="X33" s="24" t="inlineStr">
        <is>
          <t>Confirmed</t>
        </is>
      </c>
      <c r="Y33" s="24" t="inlineStr">
        <is>
          <t>Sheet URL dead (2338); sheet IB 30-34 wrong (27.75); sheet CBSE 80%/ISC 73% wrong (70% grouped); sheet tuition 54,096 not the 2027 figure (56,800)</t>
        </is>
      </c>
      <c r="Z33" s="25" t="inlineStr">
        <is>
          <t>https://study.uq.edu.au/study-options/programs/bachelor-business-management-2171 (entry-requirements selector, S1 2027, India)</t>
        </is>
      </c>
      <c r="AA33" s="24" t="inlineStr">
        <is>
          <t>Minimum entry score S1 2027: IB 27.75; GCE A/AS Levels 5.5; CBSE/ICSE 70; India State Boards 75. FEES box: 'A$56800'; CRICOS CODE 019886A; QTAC CODE 709001</t>
        </is>
      </c>
      <c r="AB33" s="24" t="inlineStr">
        <is>
          <t>13 September 2026</t>
        </is>
      </c>
      <c r="AC33" s="25" t="inlineStr"/>
      <c r="AD33" s="24" t="inlineStr">
        <is>
          <t>Pave verification, web-checked</t>
        </is>
      </c>
      <c r="AE33" s="24" t="inlineStr">
        <is>
          <t>Transcripts, English test evidence, passport - via apply.uq.edu.au</t>
        </is>
      </c>
      <c r="AF33" s="24" t="inlineStr">
        <is>
          <t>For S1 (22 Feb 2027) start; S2 2027 closes 2027-05-31</t>
        </is>
      </c>
      <c r="AG33" s="24" t="inlineStr">
        <is>
          <t>2027</t>
        </is>
      </c>
      <c r="AH33" s="24" t="inlineStr">
        <is>
          <t>Application fee not clearly published on official pages checked 13 Sep 2026 (UQ's non-award page cites A$150/application; older UG paper form cited A$100)</t>
        </is>
      </c>
      <c r="AI33" s="25" t="inlineStr">
        <is>
          <t>2026-11-30</t>
        </is>
      </c>
      <c r="AJ33" s="24" t="inlineStr">
        <is>
          <t>70% - UQ India method: 'All India Senior School Certificate Examination (CBSE) and Indian Certificate of Secondary Education (ICSE) - grade average of 4 best subjects converted to a percentage' | ISC: Not listed separately - grouped with CBSE at 70%; India State Boards 75%</t>
        </is>
      </c>
    </row>
    <row r="34" ht="42" customHeight="1">
      <c r="A34" s="24" t="inlineStr">
        <is>
          <t>AU-033</t>
        </is>
      </c>
      <c r="B34" s="24" t="inlineStr">
        <is>
          <t>University of Queensland (UQ)</t>
        </is>
      </c>
      <c r="C34" s="24" t="inlineStr">
        <is>
          <t>Australia</t>
        </is>
      </c>
      <c r="D34" s="24" t="inlineStr">
        <is>
          <t>Bachelor of Engineering (Honours)</t>
        </is>
      </c>
      <c r="E34" s="24" t="inlineStr">
        <is>
          <t>Bachelor</t>
        </is>
      </c>
      <c r="F34" s="24" t="inlineStr">
        <is>
          <t>https://study.uq.edu.au/study-options/programs/bachelor-engineering-honours-2455</t>
        </is>
      </c>
      <c r="G34" s="24" t="inlineStr">
        <is>
          <t>Go8 / Top Research</t>
        </is>
      </c>
      <c r="H34" s="24" t="inlineStr">
        <is>
          <t>English</t>
        </is>
      </c>
      <c r="I34" s="24" t="inlineStr">
        <is>
          <t>4</t>
        </is>
      </c>
      <c r="J34" s="25" t="inlineStr"/>
      <c r="K34" s="24" t="inlineStr">
        <is>
          <t>32.75 (international, S1 2027)</t>
        </is>
      </c>
      <c r="L34" s="24" t="inlineStr">
        <is>
          <t>10.5 - aggregate of best 3 A Levels; prerequisites A/AS Maths plus A/AS Physics or Chemistry</t>
        </is>
      </c>
      <c r="M34" s="24" t="inlineStr">
        <is>
          <t>70% - UQ India method: 'All India Senior School Certificate Examination (CBSE) and Indian Certificate of Secondary Education (ICSE) - grade average of 4 best subjects converted to a percentage'; prerequisites: English, Mathematics, plus Physics/Chemistry</t>
        </is>
      </c>
      <c r="N34" s="24" t="inlineStr">
        <is>
          <t>Not listed separately - grouped with CBSE at 70%; India State Boards 85%</t>
        </is>
      </c>
      <c r="O34" s="24" t="inlineStr">
        <is>
          <t>Prerequisites: General English (Units 3&amp;4, C); Mathematical Methods (Units 3&amp;4, C); one of Chemistry or Physics (Units 3&amp;4, C). IB: Maths (AA any / AI SL-HL per list) + Physics or Chemistry (HL/SL). No admissions test</t>
        </is>
      </c>
      <c r="P34" s="24" t="inlineStr">
        <is>
          <t>IELTS Academic 6.5 overall; R6.0 W6.0 S6.0 L6.0 (program page); TOEFL iBT 87 (L19 R19 W21 S19); PTE 64</t>
        </is>
      </c>
      <c r="Q34" s="24" t="inlineStr">
        <is>
          <t>None published for this course</t>
        </is>
      </c>
      <c r="R34" s="24" t="inlineStr">
        <is>
          <t>S1 (Feb) commencement: close 30 November of the previous year; S2 (Jul) commencement: close 31 May of the year of commencement</t>
        </is>
      </c>
      <c r="S34" s="24" t="inlineStr">
        <is>
          <t>AUD 60,952 per year</t>
        </is>
      </c>
      <c r="T34" s="24" t="inlineStr">
        <is>
          <t>Program pages state 'Scholarships available'; named international UG scholarships not verified this pass</t>
        </is>
      </c>
      <c r="U34" s="24" t="inlineStr">
        <is>
          <t>Student visa (subclass 500) after acceptance</t>
        </is>
      </c>
      <c r="V34" s="24" t="inlineStr">
        <is>
          <t>Direct online via UQ applications portal (apply.uq.edu.au) or a UQ-approved agent; QTAC if studying Australian Year 12 or IB in Australia</t>
        </is>
      </c>
      <c r="W34" s="24" t="inlineStr">
        <is>
          <t>CRICOS 080734K. AQF Level 8. Intakes S1 (22 Feb 2027), S2 (26 Jul 2027)</t>
        </is>
      </c>
      <c r="X34" s="24" t="inlineStr">
        <is>
          <t>Confirmed</t>
        </is>
      </c>
      <c r="Y34" s="24" t="inlineStr">
        <is>
          <t>Sheet URL dead (2280); sheet IB 36-40 wrong (32.75); sheet A-level AAB wrong (10.5 aggregate); sheet CBSE 90%/ISC 85% wrong (70% grouped); sheet tuition 55,000-62,000 - actual 60,952 (2027)</t>
        </is>
      </c>
      <c r="Z34" s="25" t="inlineStr">
        <is>
          <t>https://study.uq.edu.au/study-options/programs/bachelor-engineering-honours-2455 (entry-requirements selector, S1 2027, India)</t>
        </is>
      </c>
      <c r="AA34" s="24" t="inlineStr">
        <is>
          <t>Minimum entry score S1 2027: IB 32.75; GCE A/AS Levels 10.5; CBSE/ICSE 70 (prereqs 'Chemistry', 'Physics', 'Mathematics, Applied Mathematics from CBSE'); FEES 'A$60952'; CRICOS CODE 080734K</t>
        </is>
      </c>
      <c r="AB34" s="24" t="inlineStr">
        <is>
          <t>13 September 2026</t>
        </is>
      </c>
      <c r="AC34" s="25" t="inlineStr"/>
      <c r="AD34" s="24" t="inlineStr">
        <is>
          <t>Pave verification, web-checked</t>
        </is>
      </c>
      <c r="AE34" s="24" t="inlineStr">
        <is>
          <t>Transcripts, English test evidence, passport - via apply.uq.edu.au</t>
        </is>
      </c>
      <c r="AF34" s="24" t="inlineStr">
        <is>
          <t>For S1 (22 Feb 2027) start; S2 2027 closes 2027-05-31</t>
        </is>
      </c>
      <c r="AG34" s="24" t="inlineStr">
        <is>
          <t>2027</t>
        </is>
      </c>
      <c r="AH34" s="24" t="inlineStr">
        <is>
          <t>Application fee not clearly published on official pages checked 13 Sep 2026 (UQ's non-award page cites A$150/application; older UG paper form cited A$100)</t>
        </is>
      </c>
      <c r="AI34" s="25" t="inlineStr">
        <is>
          <t>2026-11-30</t>
        </is>
      </c>
      <c r="AJ34" s="24" t="inlineStr">
        <is>
          <t>70% - UQ India method: 'All India Senior School Certificate Examination (CBSE) and Indian Certificate of Secondary Education (ICSE) - grade average of 4 best subjects converted to a percentage'; prerequisites: English, Mathematics, plus Physics/Chemistry | ISC: Not listed separately - grouped with CBSE at 70%; India State Boards 85%</t>
        </is>
      </c>
    </row>
    <row r="35" ht="42" customHeight="1">
      <c r="A35" s="24" t="inlineStr">
        <is>
          <t>AU-034</t>
        </is>
      </c>
      <c r="B35" s="24" t="inlineStr">
        <is>
          <t>University of Queensland (UQ)</t>
        </is>
      </c>
      <c r="C35" s="24" t="inlineStr">
        <is>
          <t>Australia</t>
        </is>
      </c>
      <c r="D35" s="24" t="inlineStr">
        <is>
          <t>Bachelor of Science</t>
        </is>
      </c>
      <c r="E35" s="24" t="inlineStr">
        <is>
          <t>Bachelor</t>
        </is>
      </c>
      <c r="F35" s="24" t="inlineStr">
        <is>
          <t>https://study.uq.edu.au/study-options/programs/bachelor-science-2461</t>
        </is>
      </c>
      <c r="G35" s="24" t="inlineStr">
        <is>
          <t>Go8 / Top Research</t>
        </is>
      </c>
      <c r="H35" s="24" t="inlineStr">
        <is>
          <t>English</t>
        </is>
      </c>
      <c r="I35" s="24" t="inlineStr">
        <is>
          <t>3</t>
        </is>
      </c>
      <c r="J35" s="25" t="inlineStr"/>
      <c r="K35" s="24" t="inlineStr">
        <is>
          <t>30.25 (international, S1 2027)</t>
        </is>
      </c>
      <c r="L35" s="24" t="inlineStr">
        <is>
          <t>8.5 - aggregate of best 3 A Levels</t>
        </is>
      </c>
      <c r="M35" s="24" t="inlineStr">
        <is>
          <t>70% - UQ India method: 'All India Senior School Certificate Examination (CBSE) and Indian Certificate of Secondary Education (ICSE) - grade average of 4 best subjects converted to a percentage'</t>
        </is>
      </c>
      <c r="N35" s="24" t="inlineStr">
        <is>
          <t>Not listed separately - grouped with CBSE at 70%; India State Boards 80%</t>
        </is>
      </c>
      <c r="O35" s="24" t="inlineStr">
        <is>
          <t>Prerequisites: General English (Units 3&amp;4, C); Mathematical Methods (Units 3&amp;4, C); one of Biology, Chemistry, Earth &amp; Environmental Science or Physics (Units 3&amp;4, C). No admissions test</t>
        </is>
      </c>
      <c r="P35" s="24" t="inlineStr">
        <is>
          <t>IELTS Academic 6.5 overall; R6.0 W6.0 S6.0 L6.0 (program page); TOEFL iBT 87 (L19 R19 W21 S19); PTE 64</t>
        </is>
      </c>
      <c r="Q35" s="24" t="inlineStr">
        <is>
          <t>None published for this course</t>
        </is>
      </c>
      <c r="R35" s="24" t="inlineStr">
        <is>
          <t>S1 (Feb) commencement: close 30 November of the previous year; S2 (Jul) commencement: close 31 May of the year of commencement</t>
        </is>
      </c>
      <c r="S35" s="24" t="inlineStr">
        <is>
          <t>AUD 56,800 per year</t>
        </is>
      </c>
      <c r="T35" s="24" t="inlineStr">
        <is>
          <t>Program pages state 'Scholarships available'; named international UG scholarships not verified this pass</t>
        </is>
      </c>
      <c r="U35" s="24" t="inlineStr">
        <is>
          <t>Student visa (subclass 500) after acceptance</t>
        </is>
      </c>
      <c r="V35" s="24" t="inlineStr">
        <is>
          <t>Direct online via UQ applications portal (apply.uq.edu.au) or a UQ-approved agent; QTAC if studying Australian Year 12 or IB in Australia</t>
        </is>
      </c>
      <c r="W35" s="24" t="inlineStr">
        <is>
          <t>CRICOS 001961J. Intakes S1 (22 Feb 2027), S2 (26 Jul 2027)</t>
        </is>
      </c>
      <c r="X35" s="24" t="inlineStr">
        <is>
          <t>Confirmed</t>
        </is>
      </c>
      <c r="Y35" s="24" t="inlineStr">
        <is>
          <t>Sheet URL dead (2045); sheet CBSE 80%/ISC 73% wrong (70% grouped); sheet tuition 52,000-58,000 - published 2027 fee 56,800</t>
        </is>
      </c>
      <c r="Z35" s="25" t="inlineStr">
        <is>
          <t>https://study.uq.edu.au/study-options/programs/bachelor-science-2461 (entry-requirements selector, S1 2027, India)</t>
        </is>
      </c>
      <c r="AA35" s="24" t="inlineStr">
        <is>
          <t>Minimum entry score S1 2027: IB 30.25; GCE A/AS Levels 8.5; CBSE/ICSE 70; India State Boards 80. FEES 'A$56800'; CRICOS CODE 001961J</t>
        </is>
      </c>
      <c r="AB35" s="24" t="inlineStr">
        <is>
          <t>13 September 2026</t>
        </is>
      </c>
      <c r="AC35" s="25" t="inlineStr"/>
      <c r="AD35" s="24" t="inlineStr">
        <is>
          <t>Pave verification, web-checked</t>
        </is>
      </c>
      <c r="AE35" s="24" t="inlineStr">
        <is>
          <t>Transcripts, English test evidence, passport - via apply.uq.edu.au</t>
        </is>
      </c>
      <c r="AF35" s="24" t="inlineStr">
        <is>
          <t>For S1 (22 Feb 2027) start; S2 2027 closes 2027-05-31</t>
        </is>
      </c>
      <c r="AG35" s="24" t="inlineStr">
        <is>
          <t>2027</t>
        </is>
      </c>
      <c r="AH35" s="24" t="inlineStr">
        <is>
          <t>Application fee not clearly published on official pages checked 13 Sep 2026 (UQ's non-award page cites A$150/application; older UG paper form cited A$100)</t>
        </is>
      </c>
      <c r="AI35" s="25" t="inlineStr">
        <is>
          <t>2026-11-30</t>
        </is>
      </c>
      <c r="AJ35" s="24" t="inlineStr">
        <is>
          <t>70% - UQ India method: 'All India Senior School Certificate Examination (CBSE) and Indian Certificate of Secondary Education (ICSE) - grade average of 4 best subjects converted to a percentage' | ISC: Not listed separately - grouped with CBSE at 70%; India State Boards 80%</t>
        </is>
      </c>
    </row>
    <row r="36" ht="42" customHeight="1">
      <c r="A36" s="24" t="inlineStr">
        <is>
          <t>AU-035</t>
        </is>
      </c>
      <c r="B36" s="24" t="inlineStr">
        <is>
          <t>University of Queensland (UQ)</t>
        </is>
      </c>
      <c r="C36" s="24" t="inlineStr">
        <is>
          <t>Australia</t>
        </is>
      </c>
      <c r="D36" s="24" t="inlineStr">
        <is>
          <t>Bachelor of Laws (Honours)</t>
        </is>
      </c>
      <c r="E36" s="24" t="inlineStr">
        <is>
          <t>Bachelor</t>
        </is>
      </c>
      <c r="F36" s="24" t="inlineStr">
        <is>
          <t>https://study.uq.edu.au/study-options/programs/bachelor-laws-honours-2471</t>
        </is>
      </c>
      <c r="G36" s="24" t="inlineStr">
        <is>
          <t>Go8 / Top Research</t>
        </is>
      </c>
      <c r="H36" s="24" t="inlineStr">
        <is>
          <t>English</t>
        </is>
      </c>
      <c r="I36" s="24" t="inlineStr">
        <is>
          <t>4</t>
        </is>
      </c>
      <c r="J36" s="25" t="inlineStr"/>
      <c r="K36" s="24" t="inlineStr">
        <is>
          <t>41.75 (international, S1 2027)</t>
        </is>
      </c>
      <c r="L36" s="24" t="inlineStr">
        <is>
          <t>15 - aggregate of best 3 A Levels</t>
        </is>
      </c>
      <c r="M36" s="24" t="inlineStr">
        <is>
          <t>97% - UQ India method: 'All India Senior School Certificate Examination (CBSE) and Indian Certificate of Secondary Education (ICSE) - grade average of 4 best subjects converted to a percentage'</t>
        </is>
      </c>
      <c r="N36" s="24" t="inlineStr">
        <is>
          <t>Not listed separately - grouped with CBSE at 97%</t>
        </is>
      </c>
      <c r="O36" s="24" t="inlineStr">
        <is>
          <t>No LNAT/admissions test or interview published; selection on entry scores. Honours awarded on GPA within the standard program</t>
        </is>
      </c>
      <c r="P36" s="24" t="inlineStr">
        <is>
          <t>IELTS 7.0 overall; writing 7, speaking 7, reading 6, listening 6; TOEFL iBT 100 (W27 S23 L19 R19); PTE 72 - higher than UQ standard</t>
        </is>
      </c>
      <c r="Q36" s="24" t="inlineStr">
        <is>
          <t>None published for this course</t>
        </is>
      </c>
      <c r="R36" s="24" t="inlineStr">
        <is>
          <t>Semester 1 only: applications close 30 November of the previous year</t>
        </is>
      </c>
      <c r="S36" s="24" t="inlineStr">
        <is>
          <t>AUD 56,800 per year</t>
        </is>
      </c>
      <c r="T36" s="24" t="inlineStr">
        <is>
          <t>Program pages state 'Scholarships available'; named international UG scholarships not verified this pass</t>
        </is>
      </c>
      <c r="U36" s="24" t="inlineStr">
        <is>
          <t>Student visa (subclass 500) after acceptance</t>
        </is>
      </c>
      <c r="V36" s="24" t="inlineStr">
        <is>
          <t>Direct online via UQ applications portal (apply.uq.edu.au) or a UQ-approved agent; QTAC if studying Australian Year 12 or IB in Australia</t>
        </is>
      </c>
      <c r="W36" s="24" t="inlineStr">
        <is>
          <t>CRICOS 082613C. AQF Level 8. Start: Semester 1 (22 Feb 2027) only</t>
        </is>
      </c>
      <c r="X36" s="24" t="inlineStr">
        <is>
          <t>Confirmed</t>
        </is>
      </c>
      <c r="Y36" s="24" t="inlineStr">
        <is>
          <t>Sheet URL dead (2440); sheet IB 38-42 low end wrong (41.75); sheet CBSE 93%/ISC 88% wrong (97% grouped); sheet said IELTS sub-bands 6.5 - actual is W7 S7 R6 L6; sheet missed that there is no July intake</t>
        </is>
      </c>
      <c r="Z36" s="25" t="inlineStr">
        <is>
          <t>https://study.uq.edu.au/study-options/programs/bachelor-laws-honours-2471 (entry-requirements selector, S1 2027, India)</t>
        </is>
      </c>
      <c r="AA36" s="24" t="inlineStr">
        <is>
          <t>Minimum entry score S1 2027: IB 41.75; GCE A/AS Levels 15; CBSE/ICSE 97. 'IELTS overall 7; writing 7; speaking 7; reading 6; listening 6.' FEES 'A$56800'; CRICOS CODE 082613C</t>
        </is>
      </c>
      <c r="AB36" s="24" t="inlineStr">
        <is>
          <t>13 September 2026</t>
        </is>
      </c>
      <c r="AC36" s="25" t="inlineStr"/>
      <c r="AD36" s="24" t="inlineStr">
        <is>
          <t>Pave verification, web-checked</t>
        </is>
      </c>
      <c r="AE36" s="24" t="inlineStr">
        <is>
          <t>Transcripts, English test evidence, passport - via apply.uq.edu.au</t>
        </is>
      </c>
      <c r="AF36" s="24" t="inlineStr">
        <is>
          <t>For S1 (22 Feb 2027) start; NO Semester 2 intake</t>
        </is>
      </c>
      <c r="AG36" s="24" t="inlineStr">
        <is>
          <t>2027</t>
        </is>
      </c>
      <c r="AH36" s="24" t="inlineStr">
        <is>
          <t>Application fee not clearly published on official pages checked 13 Sep 2026 (UQ's non-award page cites A$150/application; older UG paper form cited A$100)</t>
        </is>
      </c>
      <c r="AI36" s="25" t="inlineStr">
        <is>
          <t>2026-11-30</t>
        </is>
      </c>
      <c r="AJ36" s="24" t="inlineStr">
        <is>
          <t>97% - UQ India method: 'All India Senior School Certificate Examination (CBSE) and Indian Certificate of Secondary Education (ICSE) - grade average of 4 best subjects converted to a percentage' | ISC: Not listed separately - grouped with CBSE at 97%</t>
        </is>
      </c>
    </row>
    <row r="37" ht="42" customHeight="1">
      <c r="A37" s="24" t="inlineStr">
        <is>
          <t>AU-036</t>
        </is>
      </c>
      <c r="B37" s="24" t="inlineStr">
        <is>
          <t>University of Queensland (UQ)</t>
        </is>
      </c>
      <c r="C37" s="24" t="inlineStr">
        <is>
          <t>Australia</t>
        </is>
      </c>
      <c r="D37" s="24" t="inlineStr">
        <is>
          <t>Bachelor of Advanced Finance and Economics (Honours)</t>
        </is>
      </c>
      <c r="E37" s="24" t="inlineStr">
        <is>
          <t>Bachelor</t>
        </is>
      </c>
      <c r="F37" s="24" t="inlineStr">
        <is>
          <t>https://study.uq.edu.au/study-options/programs/bachelor-advanced-finance-and-economics-honours-2140</t>
        </is>
      </c>
      <c r="G37" s="24" t="inlineStr">
        <is>
          <t>Go8 / Top Research</t>
        </is>
      </c>
      <c r="H37" s="24" t="inlineStr">
        <is>
          <t>English</t>
        </is>
      </c>
      <c r="I37" s="24" t="inlineStr">
        <is>
          <t>4</t>
        </is>
      </c>
      <c r="J37" s="25" t="inlineStr"/>
      <c r="K37" s="24" t="inlineStr">
        <is>
          <t>43.25 (international, S1 2027)</t>
        </is>
      </c>
      <c r="L37" s="24" t="inlineStr">
        <is>
          <t>15 - aggregate of best 3 A Levels; prerequisite includes A Level Mathematics/Pure Mathematics</t>
        </is>
      </c>
      <c r="M37" s="24" t="inlineStr">
        <is>
          <t>97% - UQ India method: 'All India Senior School Certificate Examination (CBSE) and Indian Certificate of Secondary Education (ICSE) - grade average of 4 best subjects converted to a percentage'; prerequisites Mathematics/Applied Mathematics</t>
        </is>
      </c>
      <c r="N37" s="24" t="inlineStr">
        <is>
          <t>Not listed separately - grouped with CBSE at 97%</t>
        </is>
      </c>
      <c r="O37" s="24" t="inlineStr">
        <is>
          <t>Very high cutoffs (IB 43.25); Specialist-Maths-level prerequisite (IB Maths AA HL / Further Maths HL; A Level Maths); no interview/test published</t>
        </is>
      </c>
      <c r="P37" s="24" t="inlineStr">
        <is>
          <t>IELTS Academic 6.5 overall; R6.0 W6.0 S6.0 L6.0 (program page); TOEFL iBT 87 (L19 R19 W21 S19); PTE 64</t>
        </is>
      </c>
      <c r="Q37" s="24" t="inlineStr">
        <is>
          <t>None published for this course</t>
        </is>
      </c>
      <c r="R37" s="24" t="inlineStr">
        <is>
          <t>Semester 1 only: applications close 30 November of the previous year</t>
        </is>
      </c>
      <c r="S37" s="24" t="inlineStr">
        <is>
          <t>AUD 60,952 per year</t>
        </is>
      </c>
      <c r="T37" s="24" t="inlineStr">
        <is>
          <t>Program pages state 'Scholarships available'; named international UG scholarships not verified this pass</t>
        </is>
      </c>
      <c r="U37" s="24" t="inlineStr">
        <is>
          <t>Student visa (subclass 500) after acceptance</t>
        </is>
      </c>
      <c r="V37" s="24" t="inlineStr">
        <is>
          <t>Direct online via UQ applications portal (apply.uq.edu.au) or a UQ-approved agent; QTAC if studying Australian Year 12 or IB in Australia</t>
        </is>
      </c>
      <c r="W37" s="24" t="inlineStr">
        <is>
          <t>CRICOS 088354B. AQF Level 8. Start: Semester 1 (22 Feb 2027) only. Embedded honours with research thesis</t>
        </is>
      </c>
      <c r="X37" s="24" t="inlineStr">
        <is>
          <t>Confirmed</t>
        </is>
      </c>
      <c r="Y37" s="24" t="inlineStr">
        <is>
          <t>Sheet URL dead (2498); sheet IB 37-41 wrong (43.25); sheet A-level AAA wrong (15 aggregate); sheet CBSE 93%/ISC 88% wrong (97% grouped); sheet tuition 55,000-62,000 - actual 60,952; sheet missed S1-only intake</t>
        </is>
      </c>
      <c r="Z37" s="25" t="inlineStr">
        <is>
          <t>https://study.uq.edu.au/study-options/programs/bachelor-advanced-finance-and-economics-honours-2140 (entry-requirements selector, S1 2027, India)</t>
        </is>
      </c>
      <c r="AA37" s="24" t="inlineStr">
        <is>
          <t>Minimum entry score S1 2027: IB 43.25; GCE A/AS Levels 15; CBSE/ICSE 97 (prereq 'Mathematics, Applied Mathematics from CBSE'). FEES 'A$60952'; CRICOS CODE 088354B</t>
        </is>
      </c>
      <c r="AB37" s="24" t="inlineStr">
        <is>
          <t>13 September 2026</t>
        </is>
      </c>
      <c r="AC37" s="25" t="inlineStr"/>
      <c r="AD37" s="24" t="inlineStr">
        <is>
          <t>Pave verification, web-checked</t>
        </is>
      </c>
      <c r="AE37" s="24" t="inlineStr">
        <is>
          <t>Transcripts, English test evidence, passport - via apply.uq.edu.au</t>
        </is>
      </c>
      <c r="AF37" s="24" t="inlineStr">
        <is>
          <t>For S1 (22 Feb 2027) start; NO Semester 2 intake</t>
        </is>
      </c>
      <c r="AG37" s="24" t="inlineStr">
        <is>
          <t>2027</t>
        </is>
      </c>
      <c r="AH37" s="24" t="inlineStr">
        <is>
          <t>Application fee not clearly published on official pages checked 13 Sep 2026 (UQ's non-award page cites A$150/application; older UG paper form cited A$100)</t>
        </is>
      </c>
      <c r="AI37" s="25" t="inlineStr">
        <is>
          <t>2026-11-30</t>
        </is>
      </c>
      <c r="AJ37" s="24" t="inlineStr">
        <is>
          <t>97% - UQ India method: 'All India Senior School Certificate Examination (CBSE) and Indian Certificate of Secondary Education (ICSE) - grade average of 4 best subjects converted to a percentage'; prerequisites Mathematics/Applied Mathematics | ISC: Not listed separately - grouped with CBSE at 97%</t>
        </is>
      </c>
    </row>
    <row r="38" ht="42" customHeight="1">
      <c r="A38" s="24" t="inlineStr">
        <is>
          <t>AU-037</t>
        </is>
      </c>
      <c r="B38" s="25" t="inlineStr">
        <is>
          <t>Adelaide University (merged University of Adelaide + UniSA; sheet listed University of Adelaide)</t>
        </is>
      </c>
      <c r="C38" s="24" t="inlineStr">
        <is>
          <t>Australia</t>
        </is>
      </c>
      <c r="D38" s="24" t="inlineStr">
        <is>
          <t>Bachelor of Commerce</t>
        </is>
      </c>
      <c r="E38" s="24" t="inlineStr">
        <is>
          <t>Bachelor</t>
        </is>
      </c>
      <c r="F38" s="24" t="inlineStr">
        <is>
          <t>https://adelaide.edu.au/study/degrees/bachelor-of-commerce-accounting/</t>
        </is>
      </c>
      <c r="G38" s="24" t="inlineStr">
        <is>
          <t>Go8 / Top Research</t>
        </is>
      </c>
      <c r="H38" s="24" t="inlineStr">
        <is>
          <t>English</t>
        </is>
      </c>
      <c r="I38" s="24" t="inlineStr">
        <is>
          <t>3</t>
        </is>
      </c>
      <c r="J38" s="24" t="inlineStr">
        <is>
          <t>ATAR 80 (Australian benchmark). Prerequisites: None</t>
        </is>
      </c>
      <c r="K38" s="24" t="inlineStr">
        <is>
          <t>28 (Bachelor of Commerce majoring in Accounting, international admissions criteria, 2026 entry)</t>
        </is>
      </c>
      <c r="L38" s="25" t="inlineStr">
        <is>
          <t>Not published as letter grades; Adelaide University lists GCE A Level points on the degree page rather than a grade string — sheet's 'BBB' not verifiable</t>
        </is>
      </c>
      <c r="M38" s="24" t="inlineStr">
        <is>
          <t>CBSE: 75 (published under 'CBSE and CISCE' on the international admissions criteria; State Board Examinations: 85)</t>
        </is>
      </c>
      <c r="N38" s="24" t="inlineStr">
        <is>
          <t>CISCE: 75 (same published 'CBSE and CISCE' figure)</t>
        </is>
      </c>
      <c r="O38" s="24" t="inlineStr">
        <is>
          <t>Rank-based: where there are more eligible applicants than places, admission is competitive on the entry criteria; CRICOS 115684M (Accounting major)</t>
        </is>
      </c>
      <c r="P38" s="24" t="inlineStr">
        <is>
          <t>IELTS Overall 6.5, minimum 6.0 in Reading, Listening, Speaking, Writing (Adelaide University standard for this degree); alternatives accepted</t>
        </is>
      </c>
      <c r="Q38" s="24" t="inlineStr">
        <is>
          <t>None</t>
        </is>
      </c>
      <c r="R38" s="25" t="inlineStr">
        <is>
          <t>Intakes February (Semester 1) and July (Semester 2); no fixed university-wide closing date published — 'Some degrees have different deadlines, so we recommend reviewing the degree page to be sure.'</t>
        </is>
      </c>
      <c r="S38" s="24" t="inlineStr">
        <is>
          <t>AUD 54,300 per year (indicative international annual fee)</t>
        </is>
      </c>
      <c r="T38" s="24" t="inlineStr">
        <is>
          <t>Adelaide University offers a range of international scholarships with automatic assessment on application ('For most scholarships, you will be automatically assessed when applying'); the sheet's 'Adelaide International Undergraduate Scholarships / Bonython Scholarship' are legacy University of Adelaide names not found on the new site</t>
        </is>
      </c>
      <c r="U38" s="25" t="inlineStr">
        <is>
          <t>Australian Student visa (subclass 500) applied for after accepting the offer and receiving the CoE — Adelaide University's how-to-apply steps end with 'receive CoE' then 'Apply for student visa'</t>
        </is>
      </c>
      <c r="V38" s="24" t="inlineStr">
        <is>
          <t>Adelaide University International Application System (StudyLink, student-adelaideuni.studylink.com) or an official Education Agent</t>
        </is>
      </c>
      <c r="W38" s="25" t="inlineStr">
        <is>
          <t>MERGER: Adelaide University is the new institution formed by the merger of the University of Adelaide and the University of South Australia, officially open since January 2026 with its first cohort starting February 2026 — a 2027 applicant applies to ADELAIDE UNIVERSITY. Old URL https://www.adelaide.edu.au/degree-finder/bcom.html now redirects to the generic adelaide.edu.au/study/ landing page (course value lost). The plain Bachelor of Commerce page 404s: the degree is now published per major (Accounting, Banking and Finance, Business Analytics, etc.); figures here are from the Accounting major page. CRICOS in notes: 115684M.</t>
        </is>
      </c>
      <c r="X38" s="24" t="inlineStr">
        <is>
          <t>Confirmed</t>
        </is>
      </c>
      <c r="Y38" s="25" t="inlineStr">
        <is>
          <t>Sheet said IB 30-33 — published IB is 28. Sheet CBSE 80%+/ISC 73%+ — published CBSE/CISCE figure is 75 (State Boards 85). Sheet tuition AUD 43,000-48,000 — 2026 international fee is AUD 54,300. Sheet deadline 'May 1' — no such published deadline. Sheet institution 'University of Adelaide' — now Adelaide University.</t>
        </is>
      </c>
      <c r="Z38" s="24" t="inlineStr">
        <is>
          <t>https://adelaide.edu.au/study/degrees/bachelor-of-commerce-accounting/</t>
        </is>
      </c>
      <c r="AA38" s="24" t="inlineStr">
        <is>
          <t>"IB Diploma Entry Score: 28 points ... CBSE and CISCE: 75 ... Annual Tuition Fee: AUD $54,300 (indicative)" (degree page admissions criteria for international students); merger: "The new Adelaide University has officially opened its doors, completing the merger process between the former University of Adelaide and University of South Australia." (statedevelopment.sa.gov.au)</t>
        </is>
      </c>
      <c r="AB38" s="24" t="inlineStr">
        <is>
          <t>13 September 2026</t>
        </is>
      </c>
      <c r="AC38" s="24" t="inlineStr">
        <is>
          <t>yes</t>
        </is>
      </c>
      <c r="AD38" s="24" t="inlineStr">
        <is>
          <t>Pave verification, web-checked</t>
        </is>
      </c>
      <c r="AE38" s="24" t="inlineStr">
        <is>
          <t>Academic certificates and transcripts, proof of English language proficiency, proof of identity (passport); non-English documents must be officially translated</t>
        </is>
      </c>
      <c r="AF38" s="24" t="inlineStr">
        <is>
          <t>Checked 13 September 2026: Adelaide University publishes no fixed international closing dates for 2027 intakes; apply well ahead of the February/July start</t>
        </is>
      </c>
      <c r="AG38" s="24" t="inlineStr">
        <is>
          <t>2026</t>
        </is>
      </c>
      <c r="AH38" s="24" t="inlineStr">
        <is>
          <t>AUD 150 non-refundable per application (waived for research degrees, 100% online and non-award programs)</t>
        </is>
      </c>
      <c r="AI38" s="25" t="inlineStr"/>
      <c r="AJ38" s="24" t="inlineStr">
        <is>
          <t>CBSE: 75 (published under 'CBSE and CISCE' on the international admissions criteria; State Board Examinations: 85) | ISC: CISCE: 75 (same published 'CBSE and CISCE' figure)</t>
        </is>
      </c>
    </row>
    <row r="39" ht="42" customHeight="1">
      <c r="A39" s="24" t="inlineStr">
        <is>
          <t>AU-038</t>
        </is>
      </c>
      <c r="B39" s="25" t="inlineStr">
        <is>
          <t>Adelaide University (merged University of Adelaide + UniSA; sheet listed University of Adelaide)</t>
        </is>
      </c>
      <c r="C39" s="24" t="inlineStr">
        <is>
          <t>Australia</t>
        </is>
      </c>
      <c r="D39" s="24" t="inlineStr">
        <is>
          <t>Bachelor of Engineering (Honours)</t>
        </is>
      </c>
      <c r="E39" s="24" t="inlineStr">
        <is>
          <t>Bachelor (Honours)</t>
        </is>
      </c>
      <c r="F39" s="24" t="inlineStr">
        <is>
          <t>https://adelaide.edu.au/study/degrees/bachelor-of-engineering-mechanical-honours/</t>
        </is>
      </c>
      <c r="G39" s="24" t="inlineStr">
        <is>
          <t>Go8 / Top Research</t>
        </is>
      </c>
      <c r="H39" s="24" t="inlineStr">
        <is>
          <t>English</t>
        </is>
      </c>
      <c r="I39" s="24" t="inlineStr">
        <is>
          <t>4</t>
        </is>
      </c>
      <c r="J39" s="24" t="inlineStr">
        <is>
          <t>ATAR 80 (Australian benchmark). Prerequisite: SACE Stage 2 Mathematical Methods (or equivalent). Assumed knowledge: None</t>
        </is>
      </c>
      <c r="K39" s="24" t="inlineStr">
        <is>
          <t>28 (Bachelor of Engineering (Mechanical) (Honours), international admissions criteria, 2026 entry; other disciplines have their own pages)</t>
        </is>
      </c>
      <c r="L39" s="25" t="inlineStr">
        <is>
          <t>Not published as letter grades on the new degree pages — sheet's 'ABB (Maths/Sci)' not verifiable</t>
        </is>
      </c>
      <c r="M39" s="24" t="inlineStr">
        <is>
          <t>CBSE: 75 (published under 'CBSE and CISCE'; State Board Examinations: 85)</t>
        </is>
      </c>
      <c r="N39" s="24" t="inlineStr">
        <is>
          <t>CISCE: 75</t>
        </is>
      </c>
      <c r="O39" s="24" t="inlineStr">
        <is>
          <t>Rank-based competitive selection where applicants exceed places; provisionally accredited by Engineers Australia; CRICOS 115703B (Mechanical)</t>
        </is>
      </c>
      <c r="P39" s="24" t="inlineStr">
        <is>
          <t>IELTS Overall 6.5, minimum 6.0 in each of Reading, Listening, Speaking, Writing</t>
        </is>
      </c>
      <c r="Q39" s="24" t="inlineStr">
        <is>
          <t>None</t>
        </is>
      </c>
      <c r="R39" s="25" t="inlineStr">
        <is>
          <t>Intakes February and July; no fixed university-wide closing date published — 'Some degrees have different deadlines, so we recommend reviewing the degree page to be sure.'</t>
        </is>
      </c>
      <c r="S39" s="24" t="inlineStr">
        <is>
          <t>AUD 57,100 per year (indicative international annual fee, Mechanical)</t>
        </is>
      </c>
      <c r="T39" s="24" t="inlineStr">
        <is>
          <t>Range of Adelaide University international scholarships, automatically assessed on application; legacy University of Adelaide scholarship names in the sheet no longer verifiable</t>
        </is>
      </c>
      <c r="U39" s="24" t="inlineStr">
        <is>
          <t>Australian Student visa (subclass 500) after acceptance and CoE (per Adelaide University how-to-apply steps)</t>
        </is>
      </c>
      <c r="V39" s="24" t="inlineStr">
        <is>
          <t>Adelaide University International Application System (StudyLink, student-adelaideuni.studylink.com) or an official Education Agent</t>
        </is>
      </c>
      <c r="W39" s="25" t="inlineStr">
        <is>
          <t>MERGER: applies to ADELAIDE UNIVERSITY (merger of University of Adelaide and UniSA, open January 2026, first cohort February 2026). Old URL https://www.adelaide.edu.au/degree-finder/benghons.html redirects to the generic study landing page. There is no single generic BEng(Hons) programme any more: Adelaide University publishes separate degrees per discipline (Civil, Chemical, Electrical, Mechanical, Environmental, Software, etc.); figures here are from the Mechanical page — check the specific discipline page. Physics is NOT a stated prerequisite for Mechanical (only Mathematical Methods; assumed knowledge 'None'). CRICOS in notes: 115703B (Mechanical).</t>
        </is>
      </c>
      <c r="X39" s="24" t="inlineStr">
        <is>
          <t>Confirmed</t>
        </is>
      </c>
      <c r="Y39" s="25" t="inlineStr">
        <is>
          <t>Sheet said IB 34-38 — published IB is 28. Sheet ATAR 90+ — published ATAR 80. Sheet 'Maths/Physics required' — only Mathematical Methods is a prerequisite (Mechanical). Sheet tuition AUD 46,000-54,000 — 2026 fee is AUD 57,100. Sheet CBSE 88%+/ISC 82%+ — published CBSE/CISCE figure is 75. Sheet deadline 'May 1' — not published.</t>
        </is>
      </c>
      <c r="Z39" s="24" t="inlineStr">
        <is>
          <t>https://adelaide.edu.au/study/degrees/bachelor-of-engineering-mechanical-honours/</t>
        </is>
      </c>
      <c r="AA39" s="24" t="inlineStr">
        <is>
          <t>"Annual Tuition Fee: $57,100 AUD per year (2026) ... IB Diploma Entry Score: 28 ... Subject Prerequisites: SACE Stage 2 Mathematical Methods (or equivalent)" (international admissions criteria on the degree page)</t>
        </is>
      </c>
      <c r="AB39" s="24" t="inlineStr">
        <is>
          <t>13 September 2026</t>
        </is>
      </c>
      <c r="AC39" s="24" t="inlineStr">
        <is>
          <t>yes</t>
        </is>
      </c>
      <c r="AD39" s="24" t="inlineStr">
        <is>
          <t>Pave verification, web-checked</t>
        </is>
      </c>
      <c r="AE39" s="24" t="inlineStr">
        <is>
          <t>Academic certificates and transcripts, proof of English proficiency, passport; official translations if not in English</t>
        </is>
      </c>
      <c r="AF39" s="24" t="inlineStr">
        <is>
          <t>Checked 13 September 2026: no published international closing dates for 2027 intakes</t>
        </is>
      </c>
      <c r="AG39" s="24" t="inlineStr">
        <is>
          <t>2026</t>
        </is>
      </c>
      <c r="AH39" s="24" t="inlineStr">
        <is>
          <t>AUD 150 non-refundable per application</t>
        </is>
      </c>
      <c r="AI39" s="25" t="inlineStr"/>
      <c r="AJ39" s="24" t="inlineStr">
        <is>
          <t>CBSE: 75 (published under 'CBSE and CISCE'; State Board Examinations: 85) | ISC: CISCE: 75</t>
        </is>
      </c>
    </row>
    <row r="40" ht="42" customHeight="1">
      <c r="A40" s="24" t="inlineStr">
        <is>
          <t>AU-039</t>
        </is>
      </c>
      <c r="B40" s="25" t="inlineStr">
        <is>
          <t>Adelaide University (merged University of Adelaide + UniSA; sheet listed University of Adelaide)</t>
        </is>
      </c>
      <c r="C40" s="24" t="inlineStr">
        <is>
          <t>Australia</t>
        </is>
      </c>
      <c r="D40" s="24" t="inlineStr">
        <is>
          <t>Bachelor of Computer Science</t>
        </is>
      </c>
      <c r="E40" s="24" t="inlineStr">
        <is>
          <t>Bachelor</t>
        </is>
      </c>
      <c r="F40" s="24" t="inlineStr">
        <is>
          <t>https://adelaide.edu.au/study/degrees/bachelor-of-computer-science/</t>
        </is>
      </c>
      <c r="G40" s="24" t="inlineStr">
        <is>
          <t>Go8 / Top Research</t>
        </is>
      </c>
      <c r="H40" s="24" t="inlineStr">
        <is>
          <t>English</t>
        </is>
      </c>
      <c r="I40" s="24" t="inlineStr">
        <is>
          <t>3</t>
        </is>
      </c>
      <c r="J40" s="24" t="inlineStr">
        <is>
          <t>ATAR 75 (Australian benchmark). Prerequisites: none stated</t>
        </is>
      </c>
      <c r="K40" s="24" t="inlineStr">
        <is>
          <t>26 (international admissions criteria, 2026 entry)</t>
        </is>
      </c>
      <c r="L40" s="24" t="inlineStr">
        <is>
          <t>GCE Advanced Levels: 8 (points as published on the degree page; not a letter-grade string)</t>
        </is>
      </c>
      <c r="M40" s="24" t="inlineStr">
        <is>
          <t>CBSE: 70 (published under 'CBSE and CISCE'; State Board Examinations: 80)</t>
        </is>
      </c>
      <c r="N40" s="24" t="inlineStr">
        <is>
          <t>CISCE: 70</t>
        </is>
      </c>
      <c r="O40" s="24" t="inlineStr">
        <is>
          <t>"In cases where there are more eligible applicants than available places, admission will be competitive with ranks based on the entry criteria." CRICOS 115685K</t>
        </is>
      </c>
      <c r="P40" s="24" t="inlineStr">
        <is>
          <t>IELTS Overall 6.5 with Reading 6, Listening 6, Speaking 6, Writing 6</t>
        </is>
      </c>
      <c r="Q40" s="24" t="inlineStr">
        <is>
          <t>None</t>
        </is>
      </c>
      <c r="R40" s="25" t="inlineStr">
        <is>
          <t>Intakes February and July; no fixed university-wide closing date published — 'Some degrees have different deadlines, so we recommend reviewing the degree page to be sure.'</t>
        </is>
      </c>
      <c r="S40" s="24" t="inlineStr">
        <is>
          <t>AUD 55,400 per year (indicative international annual fee)</t>
        </is>
      </c>
      <c r="T40" s="24" t="inlineStr">
        <is>
          <t>Range of Adelaide University international scholarships, automatically assessed on application</t>
        </is>
      </c>
      <c r="U40" s="24" t="inlineStr">
        <is>
          <t>Australian Student visa (subclass 500) after acceptance and CoE (per Adelaide University how-to-apply steps)</t>
        </is>
      </c>
      <c r="V40" s="24" t="inlineStr">
        <is>
          <t>Adelaide University International Application System (StudyLink) or an official Education Agent</t>
        </is>
      </c>
      <c r="W40" s="24" t="inlineStr">
        <is>
          <t>MERGER: applies to ADELAIDE UNIVERSITY (merger of University of Adelaide and UniSA, open January 2026). Old URL https://www.adelaide.edu.au/degree-finder/bcompsci.html redirects to the generic study landing page. Also offered with named majors (AI &amp; ML, Human-Centred Computing, Programming Languages) and as an Honours variant, each with its own page. CRICOS in notes: 115685K.</t>
        </is>
      </c>
      <c r="X40" s="24" t="inlineStr">
        <is>
          <t>Confirmed</t>
        </is>
      </c>
      <c r="Y40" s="25" t="inlineStr">
        <is>
          <t>Sheet said IB 30-33 — published IB is 26. Sheet ATAR 80+ — published ATAR 75. Sheet CBSE 80%+/ISC 73%+ — published CBSE/CISCE figure is 70 (State Boards 80). Sheet tuition AUD 44,000-50,000 — 2026 fee is AUD 55,400. Sheet deadline 'May 1' — not published.</t>
        </is>
      </c>
      <c r="Z40" s="24" t="inlineStr">
        <is>
          <t>https://adelaide.edu.au/study/degrees/bachelor-of-computer-science/</t>
        </is>
      </c>
      <c r="AA40" s="24" t="inlineStr">
        <is>
          <t>"International Baccalaureate: 26 ... CBSE and CISCE: 70 ... $55,400 (indicative annual fees for full-time study) ... a non-refundable application fee of AUD$150 applies for every application submitted"</t>
        </is>
      </c>
      <c r="AB40" s="24" t="inlineStr">
        <is>
          <t>13 September 2026</t>
        </is>
      </c>
      <c r="AC40" s="24" t="inlineStr">
        <is>
          <t>yes</t>
        </is>
      </c>
      <c r="AD40" s="24" t="inlineStr">
        <is>
          <t>Pave verification, web-checked</t>
        </is>
      </c>
      <c r="AE40" s="24" t="inlineStr">
        <is>
          <t>Academic certificates and transcripts, proof of English proficiency, passport; official translations if not in English</t>
        </is>
      </c>
      <c r="AF40" s="24" t="inlineStr">
        <is>
          <t>Checked 13 September 2026: no published international closing dates for 2027 intakes</t>
        </is>
      </c>
      <c r="AG40" s="24" t="inlineStr">
        <is>
          <t>2026</t>
        </is>
      </c>
      <c r="AH40" s="24" t="inlineStr">
        <is>
          <t>AUD 150 non-refundable per application</t>
        </is>
      </c>
      <c r="AI40" s="25" t="inlineStr"/>
      <c r="AJ40" s="24" t="inlineStr">
        <is>
          <t>CBSE: 70 (published under 'CBSE and CISCE'; State Board Examinations: 80) | ISC: CISCE: 70</t>
        </is>
      </c>
    </row>
    <row r="41" ht="42" customHeight="1">
      <c r="A41" s="24" t="inlineStr">
        <is>
          <t>AU-040</t>
        </is>
      </c>
      <c r="B41" s="25" t="inlineStr">
        <is>
          <t>Adelaide University (merged University of Adelaide + UniSA; sheet listed University of Adelaide)</t>
        </is>
      </c>
      <c r="C41" s="24" t="inlineStr">
        <is>
          <t>Australia</t>
        </is>
      </c>
      <c r="D41" s="24" t="inlineStr">
        <is>
          <t>Bachelor of Laws (LLB)</t>
        </is>
      </c>
      <c r="E41" s="25" t="inlineStr">
        <is>
          <t>Bachelor (Honours) — now titled Bachelor of Laws (Honours)</t>
        </is>
      </c>
      <c r="F41" s="24" t="inlineStr">
        <is>
          <t>https://adelaide.edu.au/study/degrees/bachelor-of-laws-honours/</t>
        </is>
      </c>
      <c r="G41" s="24" t="inlineStr">
        <is>
          <t>Go8 / Top Research</t>
        </is>
      </c>
      <c r="H41" s="24" t="inlineStr">
        <is>
          <t>English</t>
        </is>
      </c>
      <c r="I41" s="24" t="inlineStr">
        <is>
          <t>4</t>
        </is>
      </c>
      <c r="J41" s="24" t="inlineStr">
        <is>
          <t>ATAR 85 (Australian benchmark). Prerequisites: None</t>
        </is>
      </c>
      <c r="K41" s="24" t="inlineStr">
        <is>
          <t>30 (international admissions criteria, 2026 entry)</t>
        </is>
      </c>
      <c r="L41" s="25" t="inlineStr">
        <is>
          <t>Not published as letter grades on the new degree page — sheet's 'AAA' not verifiable</t>
        </is>
      </c>
      <c r="M41" s="24" t="inlineStr">
        <is>
          <t>CBSE: 80 (published under 'CBSE and CISCE'; State Board Examinations: 90)</t>
        </is>
      </c>
      <c r="N41" s="24" t="inlineStr">
        <is>
          <t>CISCE: 80</t>
        </is>
      </c>
      <c r="O41" s="24" t="inlineStr">
        <is>
          <t>Rank-based competitive selection; qualifying degree for admission to legal practice; also offered as double degrees with Commerce, Arts, Business, International Relations; CRICOS 115725G</t>
        </is>
      </c>
      <c r="P41" s="24" t="inlineStr">
        <is>
          <t>IELTS Overall 7.0 with 7.0 in each of Reading, Listening, Speaking, Writing (higher than the university standard)</t>
        </is>
      </c>
      <c r="Q41" s="24" t="inlineStr">
        <is>
          <t>None (no LNAT/interview published)</t>
        </is>
      </c>
      <c r="R41" s="25" t="inlineStr">
        <is>
          <t>Intakes February and July; no fixed university-wide closing date published — 'Some degrees have different deadlines, so we recommend reviewing the degree page to be sure.'</t>
        </is>
      </c>
      <c r="S41" s="24" t="inlineStr">
        <is>
          <t>AUD 57,100 per year (indicative international annual fee, 2026 intake; 'Fees are subject to change annually.')</t>
        </is>
      </c>
      <c r="T41" s="24" t="inlineStr">
        <is>
          <t>Range of Adelaide University international scholarships, automatically assessed on application</t>
        </is>
      </c>
      <c r="U41" s="24" t="inlineStr">
        <is>
          <t>Australian Student visa (subclass 500) after acceptance and CoE (per Adelaide University how-to-apply steps)</t>
        </is>
      </c>
      <c r="V41" s="24" t="inlineStr">
        <is>
          <t>Adelaide University International Application System (StudyLink, student-adelaideuni.studylink.com) or an official Education Agent</t>
        </is>
      </c>
      <c r="W41" s="24" t="inlineStr">
        <is>
          <t>MERGER: applies to ADELAIDE UNIVERSITY (merger of University of Adelaide and UniSA, open January 2026, first cohort February 2026). The degree is now the Bachelor of Laws (Honours), 4 years. Old URL https://www.adelaide.edu.au/degree-finder/llb.html redirects to the generic study landing page. CRICOS in notes: 115725G.</t>
        </is>
      </c>
      <c r="X41" s="24" t="inlineStr">
        <is>
          <t>Confirmed</t>
        </is>
      </c>
      <c r="Y41" s="25" t="inlineStr">
        <is>
          <t>Sheet said IB 38-42 — published IB is 30 (largest gap in this set). Sheet ATAR 97+ — published ATAR 85. Sheet CBSE 93%+/ISC 88%+ — published CBSE/CISCE figure is 80 (State Boards 90). Sheet IELTS 7.0 no band &lt;6.5 — published requirement is 7.0 in every band. Sheet tuition AUD 44,000-50,000 — 2026 fee is AUD 57,100. Sheet deadline 'May 1' — not published.</t>
        </is>
      </c>
      <c r="Z41" s="24" t="inlineStr">
        <is>
          <t>https://adelaide.edu.au/study/degrees/bachelor-of-laws-honours/</t>
        </is>
      </c>
      <c r="AA41" s="24" t="inlineStr">
        <is>
          <t>"IB Diploma Entry Score: 30 points ... CBSE and CISCE require 80 ... $57,100 for indicative annual fees (2026 intake); Fees are subject to change annually. ... IELTS Overall 7 with component scores of 7"</t>
        </is>
      </c>
      <c r="AB41" s="24" t="inlineStr">
        <is>
          <t>13 September 2026</t>
        </is>
      </c>
      <c r="AC41" s="24" t="inlineStr">
        <is>
          <t>yes</t>
        </is>
      </c>
      <c r="AD41" s="24" t="inlineStr">
        <is>
          <t>Pave verification, web-checked</t>
        </is>
      </c>
      <c r="AE41" s="24" t="inlineStr">
        <is>
          <t>Academic certificates and transcripts, proof of English proficiency, passport; official translations if not in English</t>
        </is>
      </c>
      <c r="AF41" s="24" t="inlineStr">
        <is>
          <t>Checked 13 September 2026: no published international closing dates for 2027 intakes</t>
        </is>
      </c>
      <c r="AG41" s="24" t="inlineStr">
        <is>
          <t>2026</t>
        </is>
      </c>
      <c r="AH41" s="24" t="inlineStr">
        <is>
          <t>AUD 150 non-refundable per application</t>
        </is>
      </c>
      <c r="AI41" s="25" t="inlineStr"/>
      <c r="AJ41" s="24" t="inlineStr">
        <is>
          <t>CBSE: 80 (published under 'CBSE and CISCE'; State Board Examinations: 90) | ISC: CISCE: 80</t>
        </is>
      </c>
    </row>
    <row r="42" ht="42" customHeight="1">
      <c r="A42" s="24" t="inlineStr">
        <is>
          <t>AU-041</t>
        </is>
      </c>
      <c r="B42" s="25" t="inlineStr">
        <is>
          <t>Adelaide University (merged University of Adelaide + UniSA; sheet listed University of Adelaide)</t>
        </is>
      </c>
      <c r="C42" s="24" t="inlineStr">
        <is>
          <t>Australia</t>
        </is>
      </c>
      <c r="D42" s="24" t="inlineStr">
        <is>
          <t>Bachelor of Science</t>
        </is>
      </c>
      <c r="E42" s="24" t="inlineStr">
        <is>
          <t>Bachelor</t>
        </is>
      </c>
      <c r="F42" s="24" t="inlineStr">
        <is>
          <t>https://adelaide.edu.au/study/degrees/bachelor-of-science/</t>
        </is>
      </c>
      <c r="G42" s="24" t="inlineStr">
        <is>
          <t>Go8 / Top Research</t>
        </is>
      </c>
      <c r="H42" s="24" t="inlineStr">
        <is>
          <t>English</t>
        </is>
      </c>
      <c r="I42" s="24" t="inlineStr">
        <is>
          <t>3</t>
        </is>
      </c>
      <c r="J42" s="24" t="inlineStr">
        <is>
          <t>ATAR 70 (Australian benchmark). Prerequisites: None</t>
        </is>
      </c>
      <c r="K42" s="24" t="inlineStr">
        <is>
          <t>25 (international admissions criteria, 2026 entry)</t>
        </is>
      </c>
      <c r="L42" s="25" t="inlineStr">
        <is>
          <t>Not captured as letter grades on the new degree page — sheet's 'BCC' not verifiable</t>
        </is>
      </c>
      <c r="M42" s="24" t="inlineStr">
        <is>
          <t>CBSE: 65 (published under 'CBSE and CISCE'; State Board Examinations: 75)</t>
        </is>
      </c>
      <c r="N42" s="24" t="inlineStr">
        <is>
          <t>CISCE: 65</t>
        </is>
      </c>
      <c r="O42" s="24" t="inlineStr">
        <is>
          <t>Rank-based competitive selection where applicants exceed places; program code BSCIE; CRICOS 115751E</t>
        </is>
      </c>
      <c r="P42" s="24" t="inlineStr">
        <is>
          <t>IELTS Overall 6.5, minimum 6.0 in each of Reading, Listening, Speaking, Writing; alternatives accepted</t>
        </is>
      </c>
      <c r="Q42" s="24" t="inlineStr">
        <is>
          <t>None</t>
        </is>
      </c>
      <c r="R42" s="25" t="inlineStr">
        <is>
          <t>Intakes February and July; no fixed university-wide closing date published — 'Some degrees have different deadlines, so we recommend reviewing the degree page to be sure.'</t>
        </is>
      </c>
      <c r="S42" s="24" t="inlineStr">
        <is>
          <t>AUD 55,400 per year (indicative international annual fee)</t>
        </is>
      </c>
      <c r="T42" s="24" t="inlineStr">
        <is>
          <t>Range of Adelaide University international scholarships, automatically assessed on application</t>
        </is>
      </c>
      <c r="U42" s="24" t="inlineStr">
        <is>
          <t>Australian Student visa (subclass 500) after acceptance and CoE (per Adelaide University how-to-apply steps)</t>
        </is>
      </c>
      <c r="V42" s="24" t="inlineStr">
        <is>
          <t>Adelaide University International Application System (StudyLink) or an official Education Agent</t>
        </is>
      </c>
      <c r="W42" s="24" t="inlineStr">
        <is>
          <t>MERGER: applies to ADELAIDE UNIVERSITY (merger of University of Adelaide and UniSA, open January 2026). Old URL https://www.adelaide.edu.au/degree-finder/bsc.html redirects to the generic study landing page. CRICOS in notes: 115751E.</t>
        </is>
      </c>
      <c r="X42" s="24" t="inlineStr">
        <is>
          <t>Confirmed</t>
        </is>
      </c>
      <c r="Y42" s="25" t="inlineStr">
        <is>
          <t>Sheet said IB 27-31 — published IB is 25. Sheet CBSE 77%+/ISC 70%+ — published CBSE/CISCE figure is 65 (State Boards 75). Sheet tuition AUD 43,000-48,000 — 2026 fee is AUD 55,400. Sheet deadline 'May 1' — not published.</t>
        </is>
      </c>
      <c r="Z42" s="24" t="inlineStr">
        <is>
          <t>https://adelaide.edu.au/study/degrees/bachelor-of-science/</t>
        </is>
      </c>
      <c r="AA42" s="24" t="inlineStr">
        <is>
          <t>"IB Diploma Entry Score: 25 points ... CBSE and CISCE: 65% ... Annual Tuition Fee: AUD $55,400 (indicative, subject to annual change)"</t>
        </is>
      </c>
      <c r="AB42" s="24" t="inlineStr">
        <is>
          <t>13 September 2026</t>
        </is>
      </c>
      <c r="AC42" s="24" t="inlineStr">
        <is>
          <t>yes</t>
        </is>
      </c>
      <c r="AD42" s="24" t="inlineStr">
        <is>
          <t>Pave verification, web-checked</t>
        </is>
      </c>
      <c r="AE42" s="24" t="inlineStr">
        <is>
          <t>Academic certificates and transcripts, proof of English proficiency, passport; official translations if not in English</t>
        </is>
      </c>
      <c r="AF42" s="24" t="inlineStr">
        <is>
          <t>Checked 13 September 2026: no published international closing dates for 2027 intakes</t>
        </is>
      </c>
      <c r="AG42" s="24" t="inlineStr">
        <is>
          <t>2026</t>
        </is>
      </c>
      <c r="AH42" s="24" t="inlineStr">
        <is>
          <t>AUD 150 non-refundable per application</t>
        </is>
      </c>
      <c r="AI42" s="25" t="inlineStr"/>
      <c r="AJ42" s="24" t="inlineStr">
        <is>
          <t>CBSE: 65 (published under 'CBSE and CISCE'; State Board Examinations: 75) | ISC: CISCE: 65</t>
        </is>
      </c>
    </row>
    <row r="43" ht="42" customHeight="1">
      <c r="A43" s="24" t="inlineStr">
        <is>
          <t>AU-042</t>
        </is>
      </c>
      <c r="B43" s="24" t="inlineStr">
        <is>
          <t>University of Western Australia (UWA)</t>
        </is>
      </c>
      <c r="C43" s="24" t="inlineStr">
        <is>
          <t>Australia</t>
        </is>
      </c>
      <c r="D43" s="24" t="inlineStr">
        <is>
          <t>Bachelor of Commerce</t>
        </is>
      </c>
      <c r="E43" s="24" t="inlineStr">
        <is>
          <t>Bachelor</t>
        </is>
      </c>
      <c r="F43" s="24" t="inlineStr">
        <is>
          <t>https://www.uwa.edu.au/study/courses/bachelor-of-commerce</t>
        </is>
      </c>
      <c r="G43" s="24" t="inlineStr">
        <is>
          <t>Go8 / Top Research</t>
        </is>
      </c>
      <c r="H43" s="24" t="inlineStr">
        <is>
          <t>English</t>
        </is>
      </c>
      <c r="I43" s="24" t="inlineStr">
        <is>
          <t>3</t>
        </is>
      </c>
      <c r="J43" s="24" t="inlineStr">
        <is>
          <t>Minimum ATAR 80; must satisfy any prerequisites for the preferred major</t>
        </is>
      </c>
      <c r="K43" s="24" t="inlineStr">
        <is>
          <t>27 (via UWA's published IB-to-ATAR conversion: course minimum ATAR 80 = IB 27; UWA sets no absolute IB minimum, students 'must meet equivalent entry standards to other applicants')</t>
        </is>
      </c>
      <c r="L43" s="24" t="inlineStr">
        <is>
          <t>No letter-grade requirement published; UWA ranks A levels to a selection rank against ATAR 80</t>
        </is>
      </c>
      <c r="M43" s="24" t="inlineStr">
        <is>
          <t>CBSE AISSCE: 12.0 points on best 4 subjects (A1=5, A2=4.5, B1=3.5, B2=3 ...) = ATAR 80 equivalent; Class XII English Language B2 or higher can satisfy English competence</t>
        </is>
      </c>
      <c r="N43" s="24" t="inlineStr">
        <is>
          <t>CISCE ISC: average of best four subjects 70 = ATAR 80 equivalent; English Core 60% or higher can satisfy English competence</t>
        </is>
      </c>
      <c r="O43" s="24" t="inlineStr">
        <is>
          <t>Rank-based on ATAR-equivalent selection rank; no interviews or tests; CRICOS 003006C</t>
        </is>
      </c>
      <c r="P43" s="24" t="inlineStr">
        <is>
          <t>IELTS Academic minimum overall 6.5 with no band less than 6.0; TOEFL iBT minimum 82 with 20 in Speaking and Writing (university-wide undergraduate standard); CBSE/ISC English as above</t>
        </is>
      </c>
      <c r="Q43" s="24" t="inlineStr">
        <is>
          <t>None</t>
        </is>
      </c>
      <c r="R43" s="24" t="inlineStr">
        <is>
          <t>Intakes February and July. Published 2026 closing dates: Semester 1 by 19 January 2026 and Semester 2 by 8 June 2026 for 'most other countries' (some countries: 29 December 2025 / 11 May 2026; onshore: 20 February / 17 July 2026)</t>
        </is>
      </c>
      <c r="S43" s="24" t="inlineStr">
        <is>
          <t>AUD 50,700 per year (international undergraduate fee, course BP002)</t>
        </is>
      </c>
      <c r="T43" s="24" t="inlineStr">
        <is>
          <t>UWA Global Excellence Scholarship: automatic assessment, AUD 6,000-12,000 per year by equivalent ATAR (85-89.95: $6,000; 90-97.95: $10,000; 98+: $12,000), up to AUD 48,000 over four years</t>
        </is>
      </c>
      <c r="U43" s="24" t="inlineStr">
        <is>
          <t>Australian Student visa (subclass 500) after acceptance and CoE (standard national process; not separately restated on UWA course pages)</t>
        </is>
      </c>
      <c r="V43" s="24" t="inlineStr">
        <is>
          <t>Direct online via the UWA Application Portal, or through a UWA agent</t>
        </is>
      </c>
      <c r="W43" s="25" t="inlineStr">
        <is>
          <t>Course page publishes no fee or per-qualification scores directly — fee from UWA's official fee list (fees.uwa.edu.au, INTUG 2026), qualification equivalences from UWA's international qualifications and IB pages. CRICOS in notes: 003006C.</t>
        </is>
      </c>
      <c r="X43" s="24" t="inlineStr">
        <is>
          <t>Confirmed</t>
        </is>
      </c>
      <c r="Y43" s="25" t="inlineStr">
        <is>
          <t>Sheet said ATAR 75+ / IB 28 — course minimum is ATAR 80, which converts to IB 27 on UWA's own table. Sheet CBSE 78%+/ISC 71%+ — UWA uses best-4 points (CBSE 12.0 points) and best-4 average (ISC 70) for ATAR 80, not those percentages. Sheet tuition AUD 39,000-44,000 — 2026 fee is AUD 50,700. Sheet deadline 'July 17' is the ONSHORE Semester 2 date; offshore internationals close earlier (8 June 2026 for most countries).</t>
        </is>
      </c>
      <c r="Z43" s="24" t="inlineStr">
        <is>
          <t>https://www.fees.uwa.edu.au/Browse/BrowseCourses?feeType=INTUG&amp;feeYear=2026</t>
        </is>
      </c>
      <c r="AA43" s="24" t="inlineStr">
        <is>
          <t>"Bachelor of Commerce (BP002): $50,700" (2026 international undergraduate fees list); entry: course page 'Minimum ATAR of 80'; IB conversion table: IB 27 = ATAR 80.00</t>
        </is>
      </c>
      <c r="AB43" s="24" t="inlineStr">
        <is>
          <t>13 September 2026</t>
        </is>
      </c>
      <c r="AC43" s="24" t="inlineStr">
        <is>
          <t>yes</t>
        </is>
      </c>
      <c r="AD43" s="24" t="inlineStr">
        <is>
          <t>Pave verification, web-checked</t>
        </is>
      </c>
      <c r="AE43" s="24" t="inlineStr">
        <is>
          <t>Copy of academic results, English test results, passport, plus any course-specific documents; scans clear and in full colour</t>
        </is>
      </c>
      <c r="AF43" s="25" t="inlineStr">
        <is>
          <t>Checked 13 September 2026: 2026 windows have passed; Semester 1 2027 closing dates not yet published — 'Dates are subject to change without notice and some courses have different application date requirements.'</t>
        </is>
      </c>
      <c r="AG43" s="24" t="inlineStr">
        <is>
          <t>2026</t>
        </is>
      </c>
      <c r="AH43" s="24" t="inlineStr">
        <is>
          <t>AUD 150 non-refundable ('International students applying directly to UWA and agents applying on behalf of students to study at UWA will need to pay a non-refundable fee of $150.')</t>
        </is>
      </c>
      <c r="AI43" s="25" t="inlineStr"/>
      <c r="AJ43" s="24" t="inlineStr">
        <is>
          <t>CBSE AISSCE: 12.0 points on best 4 subjects (A1=5, A2=4.5, B1=3.5, B2=3 ...) = ATAR 80 equivalent; Class XII English Language B2 or higher can satisfy English competence | ISC: CISCE ISC: average of best four subjects 70 = ATAR 80 equivalent; English Core 60% or higher can satisfy English competence</t>
        </is>
      </c>
    </row>
    <row r="44" ht="42" customHeight="1">
      <c r="A44" s="24" t="inlineStr">
        <is>
          <t>AU-043</t>
        </is>
      </c>
      <c r="B44" s="24" t="inlineStr">
        <is>
          <t>University of Western Australia (UWA)</t>
        </is>
      </c>
      <c r="C44" s="24" t="inlineStr">
        <is>
          <t>Australia</t>
        </is>
      </c>
      <c r="D44" s="24" t="inlineStr">
        <is>
          <t>Bachelor of Science</t>
        </is>
      </c>
      <c r="E44" s="24" t="inlineStr">
        <is>
          <t>Bachelor</t>
        </is>
      </c>
      <c r="F44" s="24" t="inlineStr">
        <is>
          <t>https://www.uwa.edu.au/study/courses/bachelor-of-science</t>
        </is>
      </c>
      <c r="G44" s="24" t="inlineStr">
        <is>
          <t>Go8 / Top Research</t>
        </is>
      </c>
      <c r="H44" s="24" t="inlineStr">
        <is>
          <t>English</t>
        </is>
      </c>
      <c r="I44" s="24" t="inlineStr">
        <is>
          <t>3</t>
        </is>
      </c>
      <c r="J44" s="24" t="inlineStr">
        <is>
          <t>Minimum ATAR 70; must satisfy any prerequisites for the preferred major (varies by major)</t>
        </is>
      </c>
      <c r="K44" s="24" t="inlineStr">
        <is>
          <t>24 (via UWA's published IB-to-ATAR conversion: course minimum ATAR 70 = IB 24; no absolute IB minimum published)</t>
        </is>
      </c>
      <c r="L44" s="24" t="inlineStr">
        <is>
          <t>No letter-grade requirement published; A levels ranked to a selection rank against ATAR 70</t>
        </is>
      </c>
      <c r="M44" s="24" t="inlineStr">
        <is>
          <t>CBSE AISSCE: 9.0 points on best 4 subjects = ATAR 70 equivalent; Class XII English Language B2 or higher can satisfy English competence</t>
        </is>
      </c>
      <c r="N44" s="24" t="inlineStr">
        <is>
          <t>CISCE ISC: average of best four subjects 60 = ATAR 70 equivalent; English Core 60% or higher can satisfy English competence</t>
        </is>
      </c>
      <c r="O44" s="24" t="inlineStr">
        <is>
          <t>Rank-based on ATAR-equivalent selection rank; major prerequisites checked at admission; CRICOS 068914G</t>
        </is>
      </c>
      <c r="P44" s="24" t="inlineStr">
        <is>
          <t>IELTS Academic minimum overall 6.5 with no band less than 6.0; TOEFL iBT minimum 82 with 20 in Speaking and Writing (university-wide undergraduate standard)</t>
        </is>
      </c>
      <c r="Q44" s="24" t="inlineStr">
        <is>
          <t>None</t>
        </is>
      </c>
      <c r="R44" s="24" t="inlineStr">
        <is>
          <t>Intakes February and July. Published 2026 closing dates: Semester 1 by 19 January 2026 and Semester 2 by 8 June 2026 for most countries (some countries earlier; onshore 20 February / 17 July 2026)</t>
        </is>
      </c>
      <c r="S44" s="24" t="inlineStr">
        <is>
          <t>AUD 52,000 per year (international undergraduate fee, course BP004)</t>
        </is>
      </c>
      <c r="T44" s="24" t="inlineStr">
        <is>
          <t>UWA Global Excellence Scholarship: automatic assessment, AUD 6,000-12,000 per year by equivalent ATAR, up to AUD 48,000 over four years</t>
        </is>
      </c>
      <c r="U44" s="24" t="inlineStr">
        <is>
          <t>Australian Student visa (subclass 500) after acceptance and CoE (standard national process)</t>
        </is>
      </c>
      <c r="V44" s="24" t="inlineStr">
        <is>
          <t>Direct online via the UWA Application Portal, or through a UWA agent</t>
        </is>
      </c>
      <c r="W44" s="24" t="inlineStr">
        <is>
          <t>Fee from UWA's official 2026 international fee list; course page itself defers to the fee calculator. CRICOS in notes: 068914G.</t>
        </is>
      </c>
      <c r="X44" s="24" t="inlineStr">
        <is>
          <t>Confirmed</t>
        </is>
      </c>
      <c r="Y44" s="25" t="inlineStr">
        <is>
          <t>Sheet said IB 26 — ATAR 70 converts to IB 24 on UWA's own table. Sheet CBSE 75%+/ISC 68%+ — UWA uses CBSE 9.0 best-4 points / ISC best-4 average 60 for ATAR 70. Sheet tuition AUD 40,000-46,000 — 2026 fee is AUD 52,000. Sheet deadline 'July 17' is onshore-only; offshore Semester 2 closed 8 June 2026.</t>
        </is>
      </c>
      <c r="Z44" s="24" t="inlineStr">
        <is>
          <t>https://www.fees.uwa.edu.au/Browse/BrowseCourses?feeType=INTUG&amp;feeYear=2026</t>
        </is>
      </c>
      <c r="AA44" s="24" t="inlineStr">
        <is>
          <t>"Bachelor of Science (BP004): $52,000" (2026 international undergraduate fees list); course page: 'Minimum ATAR 70'; IB conversion table: IB 24 = ATAR 70.00</t>
        </is>
      </c>
      <c r="AB44" s="24" t="inlineStr">
        <is>
          <t>13 September 2026</t>
        </is>
      </c>
      <c r="AC44" s="24" t="inlineStr">
        <is>
          <t>yes</t>
        </is>
      </c>
      <c r="AD44" s="24" t="inlineStr">
        <is>
          <t>Pave verification, web-checked</t>
        </is>
      </c>
      <c r="AE44" s="24" t="inlineStr">
        <is>
          <t>Copy of academic results, English test results, passport, plus any course-specific documents</t>
        </is>
      </c>
      <c r="AF44" s="24" t="inlineStr">
        <is>
          <t>Checked 13 September 2026: Semester 1 2027 closing dates not yet published</t>
        </is>
      </c>
      <c r="AG44" s="24" t="inlineStr">
        <is>
          <t>2026</t>
        </is>
      </c>
      <c r="AH44" s="24" t="inlineStr">
        <is>
          <t>AUD 150 non-refundable (direct or via agent)</t>
        </is>
      </c>
      <c r="AI44" s="25" t="inlineStr"/>
      <c r="AJ44" s="24" t="inlineStr">
        <is>
          <t>CBSE AISSCE: 9.0 points on best 4 subjects = ATAR 70 equivalent; Class XII English Language B2 or higher can satisfy English competence | ISC: CISCE ISC: average of best four subjects 60 = ATAR 70 equivalent; English Core 60% or higher can satisfy English competence</t>
        </is>
      </c>
    </row>
    <row r="45" ht="42" customHeight="1">
      <c r="A45" s="24" t="inlineStr">
        <is>
          <t>AU-044</t>
        </is>
      </c>
      <c r="B45" s="24" t="inlineStr">
        <is>
          <t>University of Western Australia (UWA)</t>
        </is>
      </c>
      <c r="C45" s="24" t="inlineStr">
        <is>
          <t>Australia</t>
        </is>
      </c>
      <c r="D45" s="24" t="inlineStr">
        <is>
          <t>Bachelor of Engineering (Honours)</t>
        </is>
      </c>
      <c r="E45" s="24" t="inlineStr">
        <is>
          <t>Bachelor (Honours)</t>
        </is>
      </c>
      <c r="F45" s="24" t="inlineStr">
        <is>
          <t>https://www.uwa.edu.au/study/courses/bachelor-of-engineering-honours</t>
        </is>
      </c>
      <c r="G45" s="24" t="inlineStr">
        <is>
          <t>Go8 / Top Research</t>
        </is>
      </c>
      <c r="H45" s="24" t="inlineStr">
        <is>
          <t>English</t>
        </is>
      </c>
      <c r="I45" s="24" t="inlineStr">
        <is>
          <t>4</t>
        </is>
      </c>
      <c r="J45" s="24" t="inlineStr">
        <is>
          <t>Minimum ATAR 80 (standard entry). Prerequisites: scaled score of at least 50 in Mathematics Methods ATAR, plus one of Chemistry ATAR, Physics ATAR or Mathematics Specialist ATAR (or IB/board equivalents per UWA's equivalency tables)</t>
        </is>
      </c>
      <c r="K45" s="24" t="inlineStr">
        <is>
          <t>27 (via UWA's published IB-to-ATAR conversion: standard-entry minimum ATAR 80 = IB 27; combined degrees ATAR 88, engineering+philosophy ATAR 98)</t>
        </is>
      </c>
      <c r="L45" s="24" t="inlineStr">
        <is>
          <t>No letter-grade requirement published; A levels ranked to a selection rank against ATAR 80</t>
        </is>
      </c>
      <c r="M45" s="24" t="inlineStr">
        <is>
          <t>CBSE AISSCE: 12.0 points on best 4 subjects = ATAR 80 equivalent; prerequisite subjects still required</t>
        </is>
      </c>
      <c r="N45" s="24" t="inlineStr">
        <is>
          <t>CISCE ISC: average of best four subjects 70 = ATAR 80 equivalent</t>
        </is>
      </c>
      <c r="O45" s="24" t="inlineStr">
        <is>
          <t>Rank-based; 9 specialisations chosen within the degree: Automation and Robotics, Biomedical, Chemical, Civil, Electrical and Electronic, Environmental, Mechanical, Mining, Software; CRICOS 106081B</t>
        </is>
      </c>
      <c r="P45" s="24" t="inlineStr">
        <is>
          <t>IELTS Academic minimum overall 6.5 with no band less than 6.0; TOEFL iBT minimum 82 with 20 in Speaking and Writing (university-wide undergraduate standard)</t>
        </is>
      </c>
      <c r="Q45" s="24" t="inlineStr">
        <is>
          <t>None</t>
        </is>
      </c>
      <c r="R45" s="24" t="inlineStr">
        <is>
          <t>Intakes February and July. Published 2026 closing dates: Semester 1 by 19 January 2026 and Semester 2 by 8 June 2026 for most countries (some countries earlier; onshore 20 February / 17 July 2026)</t>
        </is>
      </c>
      <c r="S45" s="24" t="inlineStr">
        <is>
          <t>AUD 53,700 per year (international undergraduate fee, course BH011)</t>
        </is>
      </c>
      <c r="T45" s="24" t="inlineStr">
        <is>
          <t>UWA Global Excellence Scholarship: automatic assessment, AUD 6,000-12,000 per year by equivalent ATAR, up to AUD 48,000 over four years</t>
        </is>
      </c>
      <c r="U45" s="24" t="inlineStr">
        <is>
          <t>Australian Student visa (subclass 500) after acceptance and CoE (standard national process)</t>
        </is>
      </c>
      <c r="V45" s="24" t="inlineStr">
        <is>
          <t>Direct online via the UWA Application Portal, or through a UWA agent</t>
        </is>
      </c>
      <c r="W45" s="24" t="inlineStr">
        <is>
          <t>Single umbrella BEng(Hons) with specialisation choice (unlike Adelaide University's per-discipline degrees). Fee from UWA's official 2026 international fee list. CRICOS in notes: 106081B.</t>
        </is>
      </c>
      <c r="X45" s="24" t="inlineStr">
        <is>
          <t>Confirmed</t>
        </is>
      </c>
      <c r="Y45" s="25" t="inlineStr">
        <is>
          <t>Sheet said ATAR 87+ / IB 32-36 — standard entry is ATAR 80, converting to IB 27. Sheet 'Maths required' understates it: Maths Methods PLUS one of Chemistry/Physics/Specialist Maths. Sheet CBSE 85%+/ISC 78%+ — UWA uses CBSE 12.0 best-4 points / ISC average 70 for ATAR 80. Sheet tuition AUD 44,000-52,000 — 2026 fee is AUD 53,700. Sheet deadline 'July 17' is onshore-only.</t>
        </is>
      </c>
      <c r="Z45" s="24" t="inlineStr">
        <is>
          <t>https://www.fees.uwa.edu.au/Browse/BrowseCourses?feeType=INTUG&amp;feeYear=2026</t>
        </is>
      </c>
      <c r="AA45" s="24" t="inlineStr">
        <is>
          <t>"Bachelor of Engineering (Honours) (BH011): $53,700" (2026 international undergraduate fees list); course page: 'obtain a scaled score of at least 50 in prerequisite: Mathematics Methods ATAR' plus one of 'Chemistry ATAR, Physics ATAR or Mathematics Specialist ATAR'; minimum ATAR 80 standard entry</t>
        </is>
      </c>
      <c r="AB45" s="24" t="inlineStr">
        <is>
          <t>13 September 2026</t>
        </is>
      </c>
      <c r="AC45" s="24" t="inlineStr">
        <is>
          <t>yes</t>
        </is>
      </c>
      <c r="AD45" s="24" t="inlineStr">
        <is>
          <t>Pave verification, web-checked</t>
        </is>
      </c>
      <c r="AE45" s="24" t="inlineStr">
        <is>
          <t>Copy of academic results, English test results, passport, plus any course-specific documents</t>
        </is>
      </c>
      <c r="AF45" s="24" t="inlineStr">
        <is>
          <t>Checked 13 September 2026: Semester 1 2027 closing dates not yet published</t>
        </is>
      </c>
      <c r="AG45" s="24" t="inlineStr">
        <is>
          <t>2026</t>
        </is>
      </c>
      <c r="AH45" s="24" t="inlineStr">
        <is>
          <t>AUD 150 non-refundable (direct or via agent)</t>
        </is>
      </c>
      <c r="AI45" s="25" t="inlineStr"/>
      <c r="AJ45" s="24" t="inlineStr">
        <is>
          <t>CBSE AISSCE: 12.0 points on best 4 subjects = ATAR 80 equivalent; prerequisite subjects still required | ISC: CISCE ISC: average of best four subjects 70 = ATAR 80 equivalent</t>
        </is>
      </c>
    </row>
    <row r="46" ht="42" customHeight="1">
      <c r="A46" s="24" t="inlineStr">
        <is>
          <t>AU-045</t>
        </is>
      </c>
      <c r="B46" s="24" t="inlineStr">
        <is>
          <t>University of Western Australia (UWA)</t>
        </is>
      </c>
      <c r="C46" s="24" t="inlineStr">
        <is>
          <t>Australia</t>
        </is>
      </c>
      <c r="D46" s="24" t="inlineStr">
        <is>
          <t>Bachelor of Arts</t>
        </is>
      </c>
      <c r="E46" s="24" t="inlineStr">
        <is>
          <t>Bachelor</t>
        </is>
      </c>
      <c r="F46" s="24" t="inlineStr">
        <is>
          <t>https://www.uwa.edu.au/study/courses/bachelor-of-arts</t>
        </is>
      </c>
      <c r="G46" s="24" t="inlineStr">
        <is>
          <t>Go8 / Top Research</t>
        </is>
      </c>
      <c r="H46" s="24" t="inlineStr">
        <is>
          <t>English</t>
        </is>
      </c>
      <c r="I46" s="24" t="inlineStr">
        <is>
          <t>3</t>
        </is>
      </c>
      <c r="J46" s="24" t="inlineStr">
        <is>
          <t>Minimum ATAR 70; satisfy any prerequisites for the preferred majors (most Arts majors have none)</t>
        </is>
      </c>
      <c r="K46" s="24" t="inlineStr">
        <is>
          <t>24 (via UWA's published IB-to-ATAR conversion: course minimum ATAR 70 = IB 24)</t>
        </is>
      </c>
      <c r="L46" s="24" t="inlineStr">
        <is>
          <t>No letter-grade requirement published; A levels ranked to a selection rank against ATAR 70</t>
        </is>
      </c>
      <c r="M46" s="24" t="inlineStr">
        <is>
          <t>CBSE AISSCE: 9.0 points on best 4 subjects = ATAR 70 equivalent; Class XII English Language B2 or higher can satisfy English competence</t>
        </is>
      </c>
      <c r="N46" s="24" t="inlineStr">
        <is>
          <t>CISCE ISC: average of best four subjects 60 = ATAR 70 equivalent; English Core 60% or higher can satisfy English competence</t>
        </is>
      </c>
      <c r="O46" s="24" t="inlineStr">
        <is>
          <t>Rank-based on ATAR-equivalent selection rank; includes the Law and Society major used as the undergraduate pathway to UWA's Juris Doctor; CRICOS 003005D</t>
        </is>
      </c>
      <c r="P46" s="24" t="inlineStr">
        <is>
          <t>IELTS Academic minimum overall 6.5 with no band less than 6.0; TOEFL iBT minimum 82 with 20 in Speaking and Writing (university-wide undergraduate standard)</t>
        </is>
      </c>
      <c r="Q46" s="24" t="inlineStr">
        <is>
          <t>None</t>
        </is>
      </c>
      <c r="R46" s="24" t="inlineStr">
        <is>
          <t>Intakes February and July. Published 2026 closing dates: Semester 1 by 19 January 2026 and Semester 2 by 8 June 2026 for most countries (some countries earlier; onshore 20 February / 17 July 2026)</t>
        </is>
      </c>
      <c r="S46" s="24" t="inlineStr">
        <is>
          <t>AUD 42,500 per year (international undergraduate fee, course BP001)</t>
        </is>
      </c>
      <c r="T46" s="24" t="inlineStr">
        <is>
          <t>UWA Global Excellence Scholarship: automatic assessment, AUD 6,000-12,000 per year by equivalent ATAR, up to AUD 48,000 over four years</t>
        </is>
      </c>
      <c r="U46" s="24" t="inlineStr">
        <is>
          <t>Australian Student visa (subclass 500) after acceptance and CoE (standard national process)</t>
        </is>
      </c>
      <c r="V46" s="24" t="inlineStr">
        <is>
          <t>Direct online via the UWA Application Portal, or through a UWA agent</t>
        </is>
      </c>
      <c r="W46" s="24" t="inlineStr">
        <is>
          <t>Course code BP001. Fee from UWA's official 2026 international fee list. CRICOS in notes: 003005D.</t>
        </is>
      </c>
      <c r="X46" s="24" t="inlineStr">
        <is>
          <t>Confirmed</t>
        </is>
      </c>
      <c r="Y46" s="25" t="inlineStr">
        <is>
          <t>Sheet said IB 25 — ATAR 70 converts to IB 24 on UWA's own table (minor). Sheet CBSE 72%+/ISC 65%+ — UWA uses CBSE 9.0 best-4 points / ISC average 60. Sheet tuition AUD 36,000-42,000 — 2026 fee is AUD 42,500 (just above the sheet's upper bound). Sheet deadline 'July 17' is onshore-only.</t>
        </is>
      </c>
      <c r="Z46" s="24" t="inlineStr">
        <is>
          <t>https://www.fees.uwa.edu.au/Browse/BrowseCourses?feeType=INTUG&amp;feeYear=2026</t>
        </is>
      </c>
      <c r="AA46" s="24" t="inlineStr">
        <is>
          <t>"Bachelor of Arts (BP001): $42,500" (2026 international undergraduate fees list); course page: 'Minimum ATAR: 70'; IB conversion table: IB 24 = ATAR 70.00</t>
        </is>
      </c>
      <c r="AB46" s="24" t="inlineStr">
        <is>
          <t>13 September 2026</t>
        </is>
      </c>
      <c r="AC46" s="24" t="inlineStr">
        <is>
          <t>yes</t>
        </is>
      </c>
      <c r="AD46" s="24" t="inlineStr">
        <is>
          <t>Pave verification, web-checked</t>
        </is>
      </c>
      <c r="AE46" s="24" t="inlineStr">
        <is>
          <t>Copy of academic results, English test results, passport, plus any course-specific documents</t>
        </is>
      </c>
      <c r="AF46" s="24" t="inlineStr">
        <is>
          <t>Checked 13 September 2026: Semester 1 2027 closing dates not yet published</t>
        </is>
      </c>
      <c r="AG46" s="24" t="inlineStr">
        <is>
          <t>2026</t>
        </is>
      </c>
      <c r="AH46" s="24" t="inlineStr">
        <is>
          <t>AUD 150 non-refundable (direct or via agent)</t>
        </is>
      </c>
      <c r="AI46" s="25" t="inlineStr"/>
      <c r="AJ46" s="24" t="inlineStr">
        <is>
          <t>CBSE AISSCE: 9.0 points on best 4 subjects = ATAR 70 equivalent; Class XII English Language B2 or higher can satisfy English competence | ISC: CISCE ISC: average of best four subjects 60 = ATAR 70 equivalent; English Core 60% or higher can satisfy English competence</t>
        </is>
      </c>
    </row>
  </sheetData>
  <autoFilter ref="A1:AJ46"/>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2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0" customWidth="1" min="3" max="3"/>
    <col width="20" customWidth="1" min="4" max="4"/>
    <col width="68" customWidth="1" min="5" max="5"/>
    <col width="56" customWidth="1" min="6" max="6"/>
    <col width="40" customWidth="1" min="7" max="7"/>
    <col width="56" customWidth="1" min="8" max="8"/>
    <col width="15" customWidth="1" min="9" max="9"/>
    <col width="28" customWidth="1" min="10" max="10"/>
  </cols>
  <sheetData>
    <row r="1" ht="30" customHeight="1">
      <c r="A1" s="16" t="inlineStr">
        <is>
          <t>#</t>
        </is>
      </c>
      <c r="B1" s="16" t="inlineStr">
        <is>
          <t>stage</t>
        </is>
      </c>
      <c r="C1" s="16" t="inlineStr">
        <is>
          <t>title</t>
        </is>
      </c>
      <c r="D1" s="16" t="inlineStr">
        <is>
          <t>realistic duration</t>
        </is>
      </c>
      <c r="E1" s="16" t="inlineStr">
        <is>
          <t>what happens</t>
        </is>
      </c>
      <c r="F1" s="16" t="inlineStr">
        <is>
          <t>the trap</t>
        </is>
      </c>
      <c r="G1" s="16" t="inlineStr">
        <is>
          <t>source URL</t>
        </is>
      </c>
      <c r="H1" s="16" t="inlineStr">
        <is>
          <t>exact quote</t>
        </is>
      </c>
      <c r="I1" s="16" t="inlineStr">
        <is>
          <t>date checked</t>
        </is>
      </c>
      <c r="J1" s="16" t="inlineStr">
        <is>
          <t>axes</t>
        </is>
      </c>
    </row>
    <row r="2" ht="76" customHeight="1">
      <c r="A2" s="24" t="n">
        <v>1</v>
      </c>
      <c r="B2" s="24" t="inlineStr">
        <is>
          <t>Eligibility</t>
        </is>
      </c>
      <c r="C2" s="24" t="inlineStr">
        <is>
          <t>Confirm the Indian Standard XII board is a recognised qualification and find the university's own conversion</t>
        </is>
      </c>
      <c r="D2" s="24" t="inlineStr">
        <is>
          <t>1-2 weeks of research, no external processing</t>
        </is>
      </c>
      <c r="E2" s="24" t="inlineStr">
        <is>
          <t>Australian universities admit Indian students on Standard XII directly - there is no separate equivalence body, no foundation year, and no APS-style pre-check. The University of Sydney lists 'All India Senior School Certificate (CBSE)', 'Indian School Certificate (CISCE)' and 'Indian Higher Secondary Certificate (State board exams)' among the qualifications it accepts for undergraduate admission. What differs is the arithmetic: each university converts Standard XII to an ATAR-equivalent selection rank on its own scale, so the same marksheet produces different ranks at different universities.</t>
        </is>
      </c>
      <c r="F2" s="24" t="inlineStr">
        <is>
          <t>Assuming one CBSE percentage works everywhere. Melbourne uses the average of the best four final-year subjects and, for state boards, accepts only Tamil Nadu HSC, Maharashtra HSC and Karnataka PUC as direct entry; Sydney sums five graded subjects on its own A1=4 ... D2=0.5 scale. Quoting a student a single 'cutoff' across universities is the most common error in Australia advising, and it also mis-sets which state boards are even eligible.</t>
        </is>
      </c>
      <c r="G2" s="24" t="inlineStr">
        <is>
          <t>https://www.sydney.edu.au/study/applying/how-to-apply/undergraduate/recognised-qualifications.html</t>
        </is>
      </c>
      <c r="H2" s="24" t="inlineStr">
        <is>
          <t>To be eligible for admission into one of our undergraduate degrees, you need to have completed one of the qualifications listed on this page.</t>
        </is>
      </c>
      <c r="I2" s="24" t="inlineStr">
        <is>
          <t>14 September 2026</t>
        </is>
      </c>
      <c r="J2" s="24" t="inlineStr">
        <is>
          <t>board: cbse, isc, state</t>
        </is>
      </c>
    </row>
    <row r="3" ht="76" customHeight="1">
      <c r="A3" s="26" t="n">
        <v>2</v>
      </c>
      <c r="B3" s="26" t="inlineStr">
        <is>
          <t>Eligibility</t>
        </is>
      </c>
      <c r="C3" s="26" t="inlineStr">
        <is>
          <t>Check the course is CRICOS-registered and check the provider's visa prioritisation status</t>
        </is>
      </c>
      <c r="D3" s="26" t="inlineStr">
        <is>
          <t>1 day</t>
        </is>
      </c>
      <c r="E3" s="26" t="inlineStr">
        <is>
          <t>Only a course registered on the Commonwealth Register of Institutions and Courses for Overseas Students (CRICOS) can support a subclass 500 visa, and the enrolment must be full time. Separately, since Ministerial Direction 111 (2024) and now MD 115, the provider's position against its New Overseas Student Commencement (NOSC) allocation determines how fast the visa is processed. Check the provider's status on the Department's Visa Prioritisation Status page on the day you lodge.</t>
        </is>
      </c>
      <c r="F3" s="26" t="inlineStr">
        <is>
          <t>Counselors treat provider choice as purely academic. Under MD 115 a provider that has passed 80 per cent of its allocation pushes the student to Priority 2, and one that has exceeded it by 15 per cent pushes them to Priority 3 - the difference between the Department starting work in 1-4 weeks and in 9-12 weeks. For a February start that gap alone can lose the intake.</t>
        </is>
      </c>
      <c r="G3" s="26" t="inlineStr">
        <is>
          <t>https://immi.homeaffairs.gov.au/visas/getting-a-visa/visa-processing-times/visa-processing-priorities/student-visa</t>
        </is>
      </c>
      <c r="H3" s="26" t="inlineStr">
        <is>
          <t>The Department will assign Priority 2 to applications associated with providers who have reached 80 per cent of their New Overseas Student Commencement (NOSC) allocation (their prioritisation threshold).</t>
        </is>
      </c>
      <c r="I3" s="26" t="inlineStr">
        <is>
          <t>14 September 2026 (page last updated 10 November 2025)</t>
        </is>
      </c>
      <c r="J3" s="26" t="inlineStr"/>
    </row>
    <row r="4" ht="76" customHeight="1">
      <c r="A4" s="24" t="n">
        <v>3</v>
      </c>
      <c r="B4" s="24" t="inlineStr">
        <is>
          <t>Eligibility</t>
        </is>
      </c>
      <c r="C4" s="24" t="inlineStr">
        <is>
          <t>Separate the two English bars: the university's admission requirement and the visa's own requirement</t>
        </is>
      </c>
      <c r="D4" s="24" t="inlineStr">
        <is>
          <t>Test booking 2-6 weeks ahead; results 3-13 days</t>
        </is>
      </c>
      <c r="E4" s="24" t="inlineStr">
        <is>
          <t>These are two different tests of the same score and the university's is almost always the higher one. For the visa, tests sat on or after 7 August 2025 are assessed against a new table: IELTS Academic or IELTS General Training 6.0 overall, falling to 5.5 if the principal course is packaged with at least 10 weeks of ELICOS / a Foundation program / an eligible Pathway program, and 5.0 with at least 20 weeks of ELICOS. PTE Academic 50, TOEFL iBT 64 (on the pre-7-August-2025 table). Universities typically ask 6.5 overall with no band below 6.0 - the University of Melbourne Bachelor of Commerce is exactly that.</t>
        </is>
      </c>
      <c r="F4" s="24" t="inlineStr">
        <is>
          <t>Two traps. First, remote-proctored or at-home tests are not accepted at all for the visa, including IELTS Online - students who book the convenient version have to re-sit. Second, the Document Checklist Tool may say no English evidence is needed at lodgement, and counselors read that as an exemption; the Department can still ask for it at any point while the application is open.</t>
        </is>
      </c>
      <c r="G4" s="24" t="inlineStr">
        <is>
          <t>https://immi.homeaffairs.gov.au/visas/getting-a-visa/visa-listing/student-500</t>
        </is>
      </c>
      <c r="H4" s="24" t="inlineStr">
        <is>
          <t>The Department of Home Affairs does not accept evidence from English language tests where an entire test is delivered online (also known as “remote-proctored” or “at-home”).</t>
        </is>
      </c>
      <c r="I4" s="24" t="inlineStr">
        <is>
          <t>14 September 2026 (page last updated 1 July 2026)</t>
        </is>
      </c>
      <c r="J4" s="24" t="inlineStr"/>
    </row>
    <row r="5" ht="76" customHeight="1">
      <c r="A5" s="26" t="n">
        <v>4</v>
      </c>
      <c r="B5" s="26" t="inlineStr">
        <is>
          <t>Eligibility</t>
        </is>
      </c>
      <c r="C5" s="26" t="inlineStr">
        <is>
          <t>Pick the intake - February (Semester 1) or July (Semester 2) - and work backwards from that university's closing date</t>
        </is>
      </c>
      <c r="D5" s="26" t="inlineStr">
        <is>
          <t>Decision made 12-15 months before the start date</t>
        </is>
      </c>
      <c r="E5" s="26" t="inlineStr">
        <is>
          <t>The Australian year has two real intakes: Semester 1 starting late February/early March and Semester 2 starting late July/August. Published international closing dates for the February 2027 intake: University of Melbourne 30 November 2026; University of Sydney 1 December 2026; ANU 15 December 2026; UQ 30 November 2026. UNSW runs rolling offer rounds instead (published Term 1 2027 rounds included 14 May, 16 July, 20 August and 24 September 2026). UWA publishes country-banded dates - for 2026 Semester 1 most countries closed 19 January 2026.</t>
        </is>
      </c>
      <c r="F5" s="26" t="inlineStr">
        <is>
          <t>Treating the university closing date as the planning deadline. It is the last date to apply, not the date to aim for: an application lodged on the closing date leaves no room for the offer, the deposit, the CoE and a 40-71 day visa decision before a late-February start. The counselor's working deadline for a February intake is September of the preceding year, not November or December.</t>
        </is>
      </c>
      <c r="G5" s="26" t="inlineStr">
        <is>
          <t>https://study.unimelb.edu.au/find/courses/undergraduate/bachelor-of-commerce/</t>
        </is>
      </c>
      <c r="H5" s="26" t="inlineStr">
        <is>
          <t>Direct international applications close: start-year intake 2027 (Semester 1/February-March) 30 November 2026.</t>
        </is>
      </c>
      <c r="I5" s="26" t="inlineStr">
        <is>
          <t>13 September 2026 (verified in the Australia dataset)</t>
        </is>
      </c>
      <c r="J5" s="26" t="inlineStr"/>
    </row>
    <row r="6" ht="76" customHeight="1">
      <c r="A6" s="24" t="n">
        <v>5</v>
      </c>
      <c r="B6" s="24" t="inlineStr">
        <is>
          <t>Application</t>
        </is>
      </c>
      <c r="C6" s="24" t="inlineStr">
        <is>
          <t>Apply directly to the universities (or through an authorised agent) - there is no national portal</t>
        </is>
      </c>
      <c r="D6" s="24" t="inlineStr">
        <is>
          <t>2-4 weeks to assemble; submit 12-14 months before the start date</t>
        </is>
      </c>
      <c r="E6" s="24" t="inlineStr">
        <is>
          <t>Unlike UCAS or Studielink, Australia has no single undergraduate portal for international applicants. Each university runs its own: Melbourne's application portal, apply.uq.edu.au, the UNSW Applicant Portal, ANU direct (AUD 150 per application), Monash direct (AUD 125 applicant fee or a waiver code), Adelaide University via StudyLink. The state TAC systems (VTAC, UAC, QTAC) are only for students completing an Australian Year 12 or, in some states, the IB in Australia - an Indian Standard XII student applies direct or through an authorised agent. Upload Standard XI and XII marksheets, the school-leaving certificate and the English test report.</t>
        </is>
      </c>
      <c r="F6" s="24" t="inlineStr">
        <is>
          <t>Applying to one university only. Because the offer -&gt; deposit -&gt; CoE -&gt; visa chain is serial and each link can slip, a single offer is a single point of failure; and unlike the UK there is no clearing mechanism. Also: some universities require applicants from specified countries to apply through an authorised agent, so a direct application from those countries is simply not processed.</t>
        </is>
      </c>
      <c r="G6" s="24" t="inlineStr">
        <is>
          <t>https://study.unimelb.edu.au/find/courses/undergraduate/bachelor-of-commerce/</t>
        </is>
      </c>
      <c r="H6" s="24" t="inlineStr">
        <is>
          <t>Direct online application via the University of Melbourne application portal for both intakes; applicants from certain countries must apply through an authorised education agent.</t>
        </is>
      </c>
      <c r="I6" s="24" t="inlineStr">
        <is>
          <t>13 September 2026 (verified in the Australia dataset)</t>
        </is>
      </c>
      <c r="J6" s="24" t="inlineStr"/>
    </row>
    <row r="7" ht="76" customHeight="1">
      <c r="A7" s="26" t="n">
        <v>6</v>
      </c>
      <c r="B7" s="26" t="inlineStr">
        <is>
          <t>Application</t>
        </is>
      </c>
      <c r="C7" s="26" t="inlineStr">
        <is>
          <t>Receive the offer - and read whether it is conditional or unconditional</t>
        </is>
      </c>
      <c r="D7" s="26" t="inlineStr">
        <is>
          <t>2-8 weeks after a complete application; UNSW and Monash assess in rounds or year-round</t>
        </is>
      </c>
      <c r="E7" s="26" t="inlineStr">
        <is>
          <t>Australian universities issue a Letter of Offer, usually conditional on final Standard XII results, an English test score, or both. The offer letter states the tuition deposit required, the OSHC arrangement and the acceptance deadline. A conditional offer cannot become a CoE - conditions must be cleared first.</t>
        </is>
      </c>
      <c r="F7" s="26" t="inlineStr">
        <is>
          <t>Waiting on a conditional offer through the CBSE results window. CBSE Class XII results land in May, which is comfortably in time for a July intake but irrelevant for February - a February applicant is applying with the previous year's completed results, so any condition left open is usually an English score, and that is fixable in weeks if the counselor catches it in the offer letter rather than in December.</t>
        </is>
      </c>
      <c r="G7" s="26" t="inlineStr">
        <is>
          <t>https://immi.homeaffairs.gov.au/visas/getting-a-visa/visa-listing/student-500</t>
        </is>
      </c>
      <c r="H7" s="26" t="inlineStr">
        <is>
          <t>Provide a Confirmation of Enrolment (CoE) in a full time course registered on the Commonwealth Register of Institutions and courses for Overseas Students (CRICOS) for all intended courses.</t>
        </is>
      </c>
      <c r="I7" s="26" t="inlineStr">
        <is>
          <t>14 September 2026 (page last updated 1 July 2026)</t>
        </is>
      </c>
      <c r="J7" s="26" t="inlineStr"/>
    </row>
    <row r="8" ht="76" customHeight="1">
      <c r="A8" s="24" t="n">
        <v>7</v>
      </c>
      <c r="B8" s="24" t="inlineStr">
        <is>
          <t>Application</t>
        </is>
      </c>
      <c r="C8" s="24" t="inlineStr">
        <is>
          <t>Accept the offer, pay the tuition deposit and arrange OSHC - this is what produces the CoE</t>
        </is>
      </c>
      <c r="D8" s="24" t="inlineStr">
        <is>
          <t>1-3 weeks from payment to CoE issue</t>
        </is>
      </c>
      <c r="E8" s="24" t="inlineStr">
        <is>
          <t>Acceptance plus a tuition deposit (commonly one semester's fees) plus an OSHC policy triggers the university to issue an electronic Confirmation of Enrolment (eCoE) through PRISMS. The eCoE is the gating document for the whole visa: no CoE, no valid subclass 500 application. The university will normally put the OSHC provider, policy dates and policy number on the CoE itself.</t>
        </is>
      </c>
      <c r="F8" s="24" t="inlineStr">
        <is>
          <t>Two failure modes. The CoE must still be valid on the day the Department decides, not just on the day of lodgement - if the student defers or the university cancels enrolment mid-processing, the application dies unless a new CoE is attached in ImmiAccount. And if OSHC is not in the application at all, the Department says outright it will refuse rather than ask.</t>
        </is>
      </c>
      <c r="G8" s="24" t="inlineStr">
        <is>
          <t>https://immi.homeaffairs.gov.au/visas/getting-a-visa/visa-listing/student-500</t>
        </is>
      </c>
      <c r="H8" s="24" t="inlineStr">
        <is>
          <t>Your CoE must be valid at time of lodgement and when we decide your visa application. A CoE is no longer valid if it is cancelled or the course is complete.</t>
        </is>
      </c>
      <c r="I8" s="24" t="inlineStr">
        <is>
          <t>14 September 2026 (page last updated 1 July 2026)</t>
        </is>
      </c>
      <c r="J8" s="24" t="inlineStr"/>
    </row>
    <row r="9" ht="76" customHeight="1">
      <c r="A9" s="26" t="n">
        <v>8</v>
      </c>
      <c r="B9" s="26" t="inlineStr">
        <is>
          <t>Money</t>
        </is>
      </c>
      <c r="C9" s="26" t="inlineStr">
        <is>
          <t>Build the financial capacity file: AUD 29,710 living costs + 12 months course fees + AUD 2,000 travel</t>
        </is>
      </c>
      <c r="D9" s="26" t="inlineStr">
        <is>
          <t>Funds must have a visible 3-6 month history; assembling and documenting takes 4-8 weeks</t>
        </is>
      </c>
      <c r="E9" s="26" t="inlineStr">
        <is>
          <t>The 12-month living cost figure for a student is AUD 29,710, plus AUD 10,394 for an accompanying partner and AUD 4,449 per accompanying child. To that add the first 12 months of course fees (total fee divided by course years, less anything already paid and receipted) and travel costs - AUD 2,000 for an applicant outside Australia other than Africa. For a Group of Eight commerce degree at roughly AUD 56,000 a year, the declared requirement lands near AUD 87,700 before any deposit is deducted. Evidence can be bank deposits, a government or bank education loan, or a scholarship.</t>
        </is>
      </c>
      <c r="F9" s="26" t="inlineStr">
        <is>
          <t>A single-day bank balance certificate. The Department says explicitly that this does not show how the funds were accumulated - it wants transaction history, salary credits, growth patterns, or for a loan, evidence of disbursement. The second trap is the figure itself: Home Affairs set AUD 29,710 from 10 May 2024, replacing AUD 24,505, which had itself replaced a lower figure months earlier - and agents still quote the older numbers. AUD 29,710 is current on the Home Affairs page as last updated 1 July 2026, but it has moved twice in three years, so re-check it every cycle.</t>
        </is>
      </c>
      <c r="G9" s="26" t="inlineStr">
        <is>
          <t>https://immi.homeaffairs.gov.au/visas/getting-a-visa/visa-listing/student-500</t>
        </is>
      </c>
      <c r="H9" s="26" t="inlineStr">
        <is>
          <t>12-month living costs are for: students - AUD29,710; partners coming with you - AUD10,394; a child coming with you - AUD4,449.</t>
        </is>
      </c>
      <c r="I9" s="26" t="inlineStr">
        <is>
          <t>14 September 2026 (page last updated 1 July 2026)</t>
        </is>
      </c>
      <c r="J9" s="26" t="inlineStr">
        <is>
          <t>passport: b</t>
        </is>
      </c>
    </row>
    <row r="10" ht="76" customHeight="1">
      <c r="A10" s="24" t="n">
        <v>9</v>
      </c>
      <c r="B10" s="24" t="inlineStr">
        <is>
          <t>Money</t>
        </is>
      </c>
      <c r="C10" s="24" t="inlineStr">
        <is>
          <t>Or use the annual income route: AUD 87,856 parental/partner income (AUD 102,500 with family)</t>
        </is>
      </c>
      <c r="D10" s="24" t="inlineStr">
        <is>
          <t>Same cycle as the funds route; needs a 12-month-old-or-newer tax assessment</t>
        </is>
      </c>
      <c r="E10" s="24" t="inlineStr">
        <is>
          <t>Instead of showing accumulated funds, the applicant can show that a parent or partner (not travelling with them) had a personal annual income of at least AUD 87,856 in the 12 months before applying, or AUD 102,500 if family members are coming too. Both parents' incomes can be combined. The evidence must be official government documentation such as an Indian income tax assessment less than 12 months old.</t>
        </is>
      </c>
      <c r="F10" s="24" t="inlineStr">
        <is>
          <t>Submitting bank statements or an employer letter for this route - the Department rejects both by name for the income test. Also note the threshold has been raised: Home Affairs' own archived guidance stated AUD 60,000 (AUD 70,000 with family), and that pair is still quoted in circulating summaries. Building a file to the stale figure means building one that does not meet the test.</t>
        </is>
      </c>
      <c r="G10" s="24" t="inlineStr">
        <is>
          <t>https://immi.homeaffairs.gov.au/visas/getting-a-visa/visa-listing/student-500</t>
        </is>
      </c>
      <c r="H10" s="24" t="inlineStr">
        <is>
          <t>Alternatively, you can give evidence that your parents or your partner had a personal annual income of at least AUD87,856 in the 12 months before you apply. If you bring family members, your parents’ or partner’s income must be at least AUD102,500 in the 12 months before you apply.</t>
        </is>
      </c>
      <c r="I10" s="24" t="inlineStr">
        <is>
          <t>14 September 2026 (page last updated 1 July 2026)</t>
        </is>
      </c>
      <c r="J10" s="24" t="inlineStr">
        <is>
          <t>passport: b</t>
        </is>
      </c>
    </row>
    <row r="11" ht="76" customHeight="1">
      <c r="A11" s="26" t="n">
        <v>10</v>
      </c>
      <c r="B11" s="26" t="inlineStr">
        <is>
          <t>Money</t>
        </is>
      </c>
      <c r="C11" s="26" t="inlineStr">
        <is>
          <t>Buy OSHC for the whole visa period, not the course period</t>
        </is>
      </c>
      <c r="D11" s="26" t="inlineStr">
        <is>
          <t>Same day online, or bundled by the university at offer acceptance</t>
        </is>
      </c>
      <c r="E11" s="26" t="inlineStr">
        <is>
          <t>Overseas Student Health Cover from an approved Australian insurer (ahm, Allianz Care/Peoplecare, Bupa, CBHS International, Medibank, nib) is compulsory for the entire stay. Proof of a paid policy must be in the application. There is no government-set price - it varies by insurer and policy length - so counselors should price it per insurer rather than quoting a number. Students from Norway, Sweden and Belgium are the only exceptions.</t>
        </is>
      </c>
      <c r="F11" s="26" t="inlineStr">
        <is>
          <t>Buying OSHC to the course end date. The visa grant period is longer than the course (see the length-of-stay step), and Home Affairs will only grant to the OSHC expiry date - and the visa end date cannot be changed once granted. The other trap is the start date: if the student flies in before semester, OSHC must start on the arrival date, not the course start date, or they can be refused entry.</t>
        </is>
      </c>
      <c r="G11" s="26" t="inlineStr">
        <is>
          <t>https://immi.homeaffairs.gov.au/visas/getting-a-visa/visa-listing/student-500</t>
        </is>
      </c>
      <c r="H11" s="26" t="inlineStr">
        <is>
          <t>If you don’t provide your OSHC in your application form, we will refuse your visa application.</t>
        </is>
      </c>
      <c r="I11" s="26" t="inlineStr">
        <is>
          <t>14 September 2026 (page last updated 1 July 2026)</t>
        </is>
      </c>
      <c r="J11" s="26" t="inlineStr">
        <is>
          <t>passport: b</t>
        </is>
      </c>
    </row>
    <row r="12" ht="76" customHeight="1">
      <c r="A12" s="24" t="n">
        <v>11</v>
      </c>
      <c r="B12" s="24" t="inlineStr">
        <is>
          <t>Money</t>
        </is>
      </c>
      <c r="C12" s="24" t="inlineStr">
        <is>
          <t>Budget the visa application charge: AUD 2,500 from 1 July 2026</t>
        </is>
      </c>
      <c r="D12" s="24" t="inlineStr">
        <is>
          <t>Paid at the moment of lodgement</t>
        </is>
      </c>
      <c r="E12" s="24" t="inlineStr">
        <is>
          <t>The Student visa application charge rose from AUD 2,000 to AUD 2,500 on 1 July 2026 for the primary applicant, after rising from AUD 710 to AUD 1,600 on 1 July 2024 and to AUD 2,000 in 2025. Independent ELICOS and non-award applicants are exempt from the increase and stay on the lower charge with annual CPI indexation. There is a separate charge for each accompanying family member. ASEAN, Pacific Island and Timor-Leste passport holders keep the lower concessional charge - Indian passport holders do not, and pay the full AUD 2,500. The charge is non-refundable if the visa is refused.</t>
        </is>
      </c>
      <c r="F12" s="24" t="inlineStr">
        <is>
          <t>Quoting the AUD 1,600 figure, which is now two increases out of date, and budgeting on the day of application rather than the day the Department receives it. Home Affairs states that if the price rises between lodging and receipt, the new charge is payable - and an application with an underpaid charge is not valid.</t>
        </is>
      </c>
      <c r="G12" s="24" t="inlineStr">
        <is>
          <t>https://www.studyaustralia.gov.au/en/tools-and-resources/news/student-visa-application-charge-increase</t>
        </is>
      </c>
      <c r="H12" s="24" t="inlineStr">
        <is>
          <t>The Student VAC increased from AUD $2,000 to AUD $2,500 from 1 July 2026.</t>
        </is>
      </c>
      <c r="I12" s="24" t="inlineStr">
        <is>
          <t>14 September 2026 (Study Australia news item dated 3 July 2026)</t>
        </is>
      </c>
      <c r="J12" s="24" t="inlineStr">
        <is>
          <t>passport: b</t>
        </is>
      </c>
    </row>
    <row r="13" ht="76" customHeight="1">
      <c r="A13" s="26" t="n">
        <v>12</v>
      </c>
      <c r="B13" s="26" t="inlineStr">
        <is>
          <t>Visa</t>
        </is>
      </c>
      <c r="C13" s="26" t="inlineStr">
        <is>
          <t>Create an ImmiAccount and run the Document Checklist Tool for an Indian passport and the chosen provider</t>
        </is>
      </c>
      <c r="D13" s="26" t="inlineStr">
        <is>
          <t>1 day</t>
        </is>
      </c>
      <c r="E13" s="26" t="inlineStr">
        <is>
          <t>The subclass 500 is lodged online only, through ImmiAccount. Before lodging, run the Document Checklist Tool with the student's country of passport and their specific education provider - the checklist is provider-sensitive, because the required evidence level varies with the provider's and country's assessed risk. Re-run it immediately before submitting; Home Affairs updates it on 31 March and 30 September each year.</t>
        </is>
      </c>
      <c r="F13" s="26" t="inlineStr">
        <is>
          <t>Running the checklist once, months early, and lodging against a list that has since changed - or running it with 'I have not decided on a provider yet', which produces a generic and usually heavier list. The checklist output is also read as permission to omit things: it is not, and the Department can request anything at any point.</t>
        </is>
      </c>
      <c r="G13" s="26" t="inlineStr">
        <is>
          <t>https://immi.homeaffairs.gov.au/visas/getting-a-visa/visa-listing/student-500</t>
        </is>
      </c>
      <c r="H13" s="26" t="inlineStr">
        <is>
          <t>Re-check the document checklist based on the country of passport and education provider just before you submit your application to be sure you have used the most current list.</t>
        </is>
      </c>
      <c r="I13" s="26" t="inlineStr">
        <is>
          <t>14 September 2026 (page last updated 1 July 2026)</t>
        </is>
      </c>
      <c r="J13" s="26" t="inlineStr">
        <is>
          <t>passport: b</t>
        </is>
      </c>
    </row>
    <row r="14" ht="76" customHeight="1">
      <c r="A14" s="24" t="n">
        <v>13</v>
      </c>
      <c r="B14" s="24" t="inlineStr">
        <is>
          <t>Visa</t>
        </is>
      </c>
      <c r="C14" s="24" t="inlineStr">
        <is>
          <t>Draft the Genuine Student (GS) answers - four questions, 150 words each, inside the form</t>
        </is>
      </c>
      <c r="D14" s="24" t="inlineStr">
        <is>
          <t>2-4 weeks of drafting and evidence-gathering; do not leave it to the week of lodgement</t>
        </is>
      </c>
      <c r="E14" s="24" t="inlineStr">
        <is>
          <t>The Genuine Student requirement replaced the Genuine Temporary Entrant (GTE) test for applications lodged on or after 23 March 2024. It is not a personal statement attached as a PDF - it is four questions answered in the online form itself: (1) the applicant's current circumstances, including ties to family, community, employment and economic circumstances; (2) why this course, in Australia, with this particular provider, and what they understand about the course and about living in Australia; (3) how completing the course will benefit them; (4) any other relevant information. There is a fifth question for applicants who have held a student visa before or are applying onshore from a non-student visa. All answers in English, 150 words each, with supporting documents attached separately in ImmiAccount.</t>
        </is>
      </c>
      <c r="F14" s="24" t="inlineStr">
        <is>
          <t>Writing a GTE-style 'I will return home' essay. GS explicitly does not penalise a future intention to seek permanent residence - the Department says so in terms - so the old strategy of protesting non-migration intent wastes words. The second trap: Home Affairs states it prefers answers in the form over an attached statement, and that it gives more weight to statements supported by evidence. Unevidenced assertions about family business income, job offers or salary expectations are the commonest weak point in Indian files.</t>
        </is>
      </c>
      <c r="G14" s="24" t="inlineStr">
        <is>
          <t>https://immi.homeaffairs.gov.au/visas/getting-a-visa/visa-listing/student-500/genuine-student-requirement</t>
        </is>
      </c>
      <c r="H14" s="24" t="inlineStr">
        <is>
          <t>The GS requirement recognises that genuine students may develop skills Australia needs and may later choose to apply for permanent residence. Future intentions of this kind do not count against an applicant under GS.</t>
        </is>
      </c>
      <c r="I14" s="24" t="inlineStr">
        <is>
          <t>14 September 2026 (page last updated 13 January 2026)</t>
        </is>
      </c>
      <c r="J14" s="24" t="inlineStr">
        <is>
          <t>passport: b</t>
        </is>
      </c>
    </row>
    <row r="15" ht="76" customHeight="1">
      <c r="A15" s="26" t="n">
        <v>14</v>
      </c>
      <c r="B15" s="26" t="inlineStr">
        <is>
          <t>Visa</t>
        </is>
      </c>
      <c r="C15" s="26" t="inlineStr">
        <is>
          <t>Assemble the GS evidence pack: previous study, employment, home-country ties, economic circumstances</t>
        </is>
      </c>
      <c r="D15" s="26" t="inlineStr">
        <is>
          <t>3-6 weeks running in parallel with the funds file</t>
        </is>
      </c>
      <c r="E15" s="26" t="inlineStr">
        <is>
          <t>Home Affairs names the evidence categories it wants: academic transcripts and certificates of attainment with provider names and study lengths; any previous study in Australia including reasons for changing course or provider and explanations of study gaps longer than 2 months; current employment details with a contactable referee; the nature of family, community and employment ties in India, plus reasons for not studying a similar course at home; and economic circumstances - 12 months of employment or business documents, income tax returns or bank statements, and any post-study employment offers with salary.</t>
        </is>
      </c>
      <c r="F15" s="26" t="inlineStr">
        <is>
          <t>Skipping the 'why not study this in India' answer. For an Indian student choosing a commerce or computer science degree that exists at home, this is the single question that most often decides the file, and it is the one most GS drafts leave implicit. Study gaps over two months and any prior visa refusal - to Australia or anywhere - must also be addressed head-on; immigration history is an explicit GS assessment factor.</t>
        </is>
      </c>
      <c r="G15" s="26" t="inlineStr">
        <is>
          <t>https://immi.homeaffairs.gov.au/visas/getting-a-visa/visa-listing/student-500/genuine-student-requirement</t>
        </is>
      </c>
      <c r="H15" s="26" t="inlineStr">
        <is>
          <t>the nature of the applicant’s personal ties e.g. family, community and employment. They must give reasons for not studying in their home country if a similar course is available.</t>
        </is>
      </c>
      <c r="I15" s="26" t="inlineStr">
        <is>
          <t>14 September 2026 (page last updated 13 January 2026)</t>
        </is>
      </c>
      <c r="J15" s="26" t="inlineStr">
        <is>
          <t>passport: b</t>
        </is>
      </c>
    </row>
    <row r="16" ht="76" customHeight="1">
      <c r="A16" s="24" t="n">
        <v>15</v>
      </c>
      <c r="B16" s="24" t="inlineStr">
        <is>
          <t>Visa</t>
        </is>
      </c>
      <c r="C16" s="24" t="inlineStr">
        <is>
          <t>Complete health examinations - before lodging if possible</t>
        </is>
      </c>
      <c r="D16" s="24" t="inlineStr">
        <is>
          <t>1-3 weeks for appointment and clinic upload; longer if a chest X-ray needs review</t>
        </is>
      </c>
      <c r="E16" s="24" t="inlineStr">
        <is>
          <t>Applicants can complete health examinations before lodging (via My Health Declarations, which generates a HAP ID) or wait for the Department to request them after lodgement, in which case the medical referral letter and HAP ID appear in ImmiAccount. Examinations must be done at a panel clinic. Doing them upfront removes one request-and-wait cycle from processing.</t>
        </is>
      </c>
      <c r="F16" s="24" t="inlineStr">
        <is>
          <t>Leaving health checks until the Department asks. For a February intake lodged in October or November, a post-lodgement health request plus clinic backlog plus results upload can add three to five weeks at exactly the wrong point. India is also a higher-TB-prevalence country, so a chest X-ray finding that needs specialist review is not rare, and that review has no fixed timeline.</t>
        </is>
      </c>
      <c r="G16" s="24" t="inlineStr">
        <is>
          <t>https://immi.homeaffairs.gov.au/visas/getting-a-visa/visa-listing/student-500</t>
        </is>
      </c>
      <c r="H16" s="24" t="inlineStr">
        <is>
          <t>You might need to have health examinations. You can complete them before you apply.</t>
        </is>
      </c>
      <c r="I16" s="24" t="inlineStr">
        <is>
          <t>14 September 2026 (page last updated 1 July 2026)</t>
        </is>
      </c>
      <c r="J16" s="24" t="inlineStr">
        <is>
          <t>passport: b</t>
        </is>
      </c>
    </row>
    <row r="17" ht="76" customHeight="1">
      <c r="A17" s="26" t="n">
        <v>16</v>
      </c>
      <c r="B17" s="26" t="inlineStr">
        <is>
          <t>Visa</t>
        </is>
      </c>
      <c r="C17" s="26" t="inlineStr">
        <is>
          <t>Time the lodgement date against the provider's prioritisation year - it resets on 15 November</t>
        </is>
      </c>
      <c r="D17" s="26" t="inlineStr">
        <is>
          <t>A single scheduling decision, worth weeks of processing time</t>
        </is>
      </c>
      <c r="E17" s="26" t="inlineStr">
        <is>
          <t>Ministerial Direction 115 measures a provider against its indicative allocation of New Overseas Student Commencements on a year that runs 15 November to 14 November. Applications lodged from 15 November 2026 to 14 November 2027 are prioritised against the provider's 2027 allocation, which starts fresh. MD 115 also states plainly that the allocation is not a cap on visas granted and not a suspension of processing - it only sets the order in which applications are picked up. Priority 1 is a provider below 80 per cent of allocation, Priority 2 is between 80 and 115 per cent, Priority 3 is above 115 per cent.</t>
        </is>
      </c>
      <c r="F17" s="26" t="inlineStr">
        <is>
          <t>Lodging in September or October against an allocation that is already spent, when waiting to 15 November would have reset the provider to Priority 1 for the following year. For a February 2027 start this is the sharpest lever a counselor has: a mid-November lodgement can be picked up in 1-4 weeks where an October one sits 9-12 weeks. The mirror-image trap is misreading the allocation as a cap and telling a student the university is 'full' - it is not; it is a processing queue.</t>
        </is>
      </c>
      <c r="G17" s="26" t="inlineStr">
        <is>
          <t>https://immi.homeaffairs.gov.au/support-subsite/files/ministerial-direction-115.pdf</t>
        </is>
      </c>
      <c r="H17" s="26" t="inlineStr">
        <is>
          <t>For a provider's prioritisation threshold for the calendar year 2026, offshore student visa applications received on or after 15 November 2025 and up to and including 14 November 2026 will be prioritised with respect to the 2026 calendar year.</t>
        </is>
      </c>
      <c r="I17" s="26" t="inlineStr">
        <is>
          <t>14 September 2026 (Ministerial Direction 115, commenced 14 November 2025)</t>
        </is>
      </c>
      <c r="J17" s="26" t="inlineStr">
        <is>
          <t>passport: b</t>
        </is>
      </c>
    </row>
    <row r="18" ht="76" customHeight="1">
      <c r="A18" s="24" t="n">
        <v>17</v>
      </c>
      <c r="B18" s="24" t="inlineStr">
        <is>
          <t>Visa</t>
        </is>
      </c>
      <c r="C18" s="24" t="inlineStr">
        <is>
          <t>Lodge the subclass 500 in ImmiAccount, complete, and pay AUD 2,500</t>
        </is>
      </c>
      <c r="D18" s="24" t="inlineStr">
        <is>
          <t>Lodgement day; aim to lodge 4-5 months before the course start date</t>
        </is>
      </c>
      <c r="E18" s="24" t="inlineStr">
        <is>
          <t>Attach everything at lodgement: passport bio page, CoE(s), GS answers and evidence, financial capacity evidence, OSHC proof, English test report (both certificate and report for LANGUAGECERT), identity and name-change documents, and a polio vaccination certificate where the applicant has spent time in an at-risk country. Maximum 60 attachments. Family members must be declared on the application even if they are not travelling. Then pay the charge - an unpaid or underpaid charge makes the application invalid.</t>
        </is>
      </c>
      <c r="F18" s="24" t="inlineStr">
        <is>
          <t>Lodging a skeleton application intending to 'add documents later'. The Department states it may finalise the application on what was provided at lodgement - a thin file can be refused without a request for more information, and a refusal then has to be declared in every future visa application anywhere. Specifically, missing financial evidence that the checklist required is grounds for refusal without further contact.</t>
        </is>
      </c>
      <c r="G18" s="24" t="inlineStr">
        <is>
          <t>https://immi.homeaffairs.gov.au/visas/getting-a-visa/visa-listing/student-500</t>
        </is>
      </c>
      <c r="H18" s="24" t="inlineStr">
        <is>
          <t>If you are required to attach evidence of your financial capacity to your ImmiAccount when you submit your application, you must do so. If you don’t give this evidence, we may refuse your application without asking you for more information.</t>
        </is>
      </c>
      <c r="I18" s="24" t="inlineStr">
        <is>
          <t>14 September 2026 (page last updated 1 July 2026)</t>
        </is>
      </c>
      <c r="J18" s="24" t="inlineStr">
        <is>
          <t>passport: b</t>
        </is>
      </c>
    </row>
    <row r="19" ht="76" customHeight="1">
      <c r="A19" s="26" t="n">
        <v>18</v>
      </c>
      <c r="B19" s="26" t="inlineStr">
        <is>
          <t>Visa</t>
        </is>
      </c>
      <c r="C19" s="26" t="inlineStr">
        <is>
          <t>Give biometrics within 14 days of the request</t>
        </is>
      </c>
      <c r="D19" s="26" t="inlineStr">
        <is>
          <t>Request usually arrives immediately after submission; appointment within 1-2 weeks</t>
        </is>
      </c>
      <c r="E19" s="26" t="inlineStr">
        <is>
          <t>Most applicants are told immediately after submitting whether biometrics are required. The request arrives by letter and appears in ImmiAccount, and the applicant is given 14 days to comply, at an Australian Biometric Collection Centre. Biometrics must be provided before travelling to Australia.</t>
        </is>
      </c>
      <c r="F19" s="26" t="inlineStr">
        <is>
          <t>Treating the 14 days as elastic. Appointment availability in Indian metros tightens sharply in the October-December offshore peak, and the student who books in week two can find nothing inside the window. This is a small step that quietly stalls files.</t>
        </is>
      </c>
      <c r="G19" s="26" t="inlineStr">
        <is>
          <t>https://immi.homeaffairs.gov.au/visas/getting-a-visa/visa-listing/student-500</t>
        </is>
      </c>
      <c r="H19" s="26" t="inlineStr">
        <is>
          <t>You will be given 14 days to provide biometrics so it is important to arrange an appointment quickly using the instructions in the request letter.</t>
        </is>
      </c>
      <c r="I19" s="26" t="inlineStr">
        <is>
          <t>14 September 2026 (page last updated 1 July 2026)</t>
        </is>
      </c>
      <c r="J19" s="26" t="inlineStr">
        <is>
          <t>passport: b</t>
        </is>
      </c>
    </row>
    <row r="20" ht="76" customHeight="1">
      <c r="A20" s="24" t="n">
        <v>19</v>
      </c>
      <c r="B20" s="24" t="inlineStr">
        <is>
          <t>Visa</t>
        </is>
      </c>
      <c r="C20" s="24" t="inlineStr">
        <is>
          <t>Processing - understand both the published time and the Ministerial Direction queue</t>
        </is>
      </c>
      <c r="D20" s="24" t="inlineStr">
        <is>
          <t>Higher Education sector: 50% within 19 days, 75% within 40 days, 90% within 71 days</t>
        </is>
      </c>
      <c r="E20" s="24" t="inlineStr">
        <is>
          <t>Home Affairs publishes global processing times by sector, not by country - there is no India-specific published subclass 500 time. For the Higher Education sector, applications decided in the month ending 31 July 2026 took 10 days at the 25th percentile, 19 days at the 50th, 40 days at the 75th and 71 days at the 90th (figures updated 4 September 2026). Separately, offshore applications lodged on or after 14 November 2025 are queued under Ministerial Direction 115, under which the Department aims to commence processing Priority 1 within 1-4 weeks, Priority 2 within 5-8 weeks and Priority 3 within 9-12 weeks of lodgement.</t>
        </is>
      </c>
      <c r="F20" s="24" t="inlineStr">
        <is>
          <t>Planning on the median. The 90th-percentile figure - 71 days for higher education, and 7 months for VET - is the number that decides whether a student makes the intake. Add MD 115's commencement lag on top: a Priority 3 application is not even picked up for 9-12 weeks, so the realistic worst case is a decision four to five months after lodgement. Counselors also need to know the priority level is fixed at lodgement day and never improves, so lodging while a provider is still below its threshold is worth real money.</t>
        </is>
      </c>
      <c r="G20" s="24" t="inlineStr">
        <is>
          <t>https://immi.homeaffairs.gov.au/visas/getting-a-visa/visa-processing-times/global-visa-processing-times</t>
        </is>
      </c>
      <c r="H20" s="24" t="inlineStr">
        <is>
          <t>Higher Education Sector — 25%: 10 Days; 50%: 19 Days; 75%: 40 Days; 90%: 71 Days (Updated 04 September 2026, period ending 31 July 2026).</t>
        </is>
      </c>
      <c r="I20" s="24" t="inlineStr">
        <is>
          <t>14 September 2026</t>
        </is>
      </c>
      <c r="J20" s="24" t="inlineStr">
        <is>
          <t>passport: b</t>
        </is>
      </c>
    </row>
    <row r="21" ht="76" customHeight="1">
      <c r="A21" s="26" t="n">
        <v>20</v>
      </c>
      <c r="B21" s="26" t="inlineStr">
        <is>
          <t>Visa</t>
        </is>
      </c>
      <c r="C21" s="26" t="inlineStr">
        <is>
          <t>Grant: check the visa end date and the conditions attached</t>
        </is>
      </c>
      <c r="D21" s="26" t="inlineStr">
        <is>
          <t>Grant notification by email to ImmiAccount</t>
        </is>
      </c>
      <c r="E21" s="26" t="inlineStr">
        <is>
          <t>Length of stay follows the course, subject to the OSHC expiry date. A course of 10 months or longer finishing at the end of the Australian academic year (November-December) usually gets a visa to 15 March of the following year; one finishing January-October gets two months beyond the course; a course under 10 months gets one month beyond. Maximum generally 6 years, and generally 5 for tertiary students unless a properly progressive package justifies 6. Conditions include 8105 - work up to 48 hours a fortnight while the course is in session, unlimited when it is not - plus 8501 (maintain OSHC), 8202 (maintain enrolment and course progress) and, for visas applied for after 1 July 2022, 8208.</t>
        </is>
      </c>
      <c r="F21" s="26" t="inlineStr">
        <is>
          <t>Assuming the visa can be extended at the end. It cannot be changed once granted - which is why the OSHC purchase decision earlier in the chain is irreversible, and why buying OSHC only to the course end date permanently shortens the visa. Students also routinely misread 8105 as 48 hours a week.</t>
        </is>
      </c>
      <c r="G21" s="26" t="inlineStr">
        <is>
          <t>https://immi.homeaffairs.gov.au/visas/getting-a-visa/visa-listing/student-500/length-of-stay</t>
        </is>
      </c>
      <c r="H21" s="26" t="inlineStr">
        <is>
          <t>10 months or longer, finishing at the end of the Australian academic year (November to December) — We will usually grant a visa stay period to 15 March of the following year.</t>
        </is>
      </c>
      <c r="I21" s="26" t="inlineStr">
        <is>
          <t>14 September 2026 (page last updated 4 May 2026)</t>
        </is>
      </c>
      <c r="J21" s="26" t="inlineStr">
        <is>
          <t>passport: b</t>
        </is>
      </c>
    </row>
    <row r="22" ht="76" customHeight="1">
      <c r="A22" s="24" t="n">
        <v>21</v>
      </c>
      <c r="B22" s="24" t="inlineStr">
        <is>
          <t>Arrival</t>
        </is>
      </c>
      <c r="C22" s="24" t="inlineStr">
        <is>
          <t>Travel - not before the OSHC start date, and not on a ticket booked before the grant</t>
        </is>
      </c>
      <c r="D22" s="24" t="inlineStr">
        <is>
          <t>Arrive 1-4 weeks before semester starts</t>
        </is>
      </c>
      <c r="E22" s="24" t="inlineStr">
        <is>
          <t>Students normally arrive one to four weeks before semester for orientation and housing. The OSHC policy must already have begun on the day of arrival, not on the day the course starts. Home Affairs advises against booking travel before the visa is finalised.</t>
        </is>
      </c>
      <c r="F22" s="24" t="inlineStr">
        <is>
          <t>Booking flights on a conditional offer, or landing a week before the OSHC policy begins. Home Affairs warns the student may be refused entry at the border if they cannot show health insurance is in place on arrival - a February-intake student who flew in mid-January on a policy dated from 1 March is the classic case.</t>
        </is>
      </c>
      <c r="G22" s="24" t="inlineStr">
        <is>
          <t>https://immi.homeaffairs.gov.au/visas/getting-a-visa/visa-listing/student-500</t>
        </is>
      </c>
      <c r="H22" s="24" t="inlineStr">
        <is>
          <t>You may be refused entry to Australia if you cannot prove you have health insurance in place when you arrive.</t>
        </is>
      </c>
      <c r="I22" s="24" t="inlineStr">
        <is>
          <t>14 September 2026 (page last updated 1 July 2026)</t>
        </is>
      </c>
      <c r="J22" s="24" t="inlineStr">
        <is>
          <t>passport: b</t>
        </is>
      </c>
    </row>
    <row r="23" ht="76" customHeight="1">
      <c r="A23" s="26" t="n">
        <v>22</v>
      </c>
      <c r="B23" s="26" t="inlineStr">
        <is>
          <t>Arrival</t>
        </is>
      </c>
      <c r="C23" s="26" t="inlineStr">
        <is>
          <t>Enrol, attend orientation, and start meeting condition 8202 from day one</t>
        </is>
      </c>
      <c r="D23" s="26" t="inlineStr">
        <is>
          <t>Orientation week, then continuous for the length of the course</t>
        </is>
      </c>
      <c r="E23" s="26" t="inlineStr">
        <is>
          <t>There is no municipal registration step in Australia - nothing equivalent to Germany's Anmeldung or a residence-permit conversion. The visa granted offshore is the residence right. What replaces it is ongoing compliance: enrol in and maintain a full-time CRICOS-registered load, meet course progress and attendance requirements (condition 8202), keep OSHC current (8501), and keep the address updated with the provider. Practical first-fortnight admin: Tax File Number, an Australian bank account, a local SIM, and a student transport concession where the state offers one to international students.</t>
        </is>
      </c>
      <c r="F23" s="26" t="inlineStr">
        <is>
          <t>Dropping below a full-time load, or deferring after arrival, without realising it breaches 8202 and can lead to visa cancellation. Students also cannot work at all before the course begins - condition 8105 does not switch on until the course starts, and an early part-time job is a breach.</t>
        </is>
      </c>
      <c r="G23" s="26" t="inlineStr">
        <is>
          <t>https://immi.homeaffairs.gov.au/visas/getting-a-visa/visa-listing/student-500</t>
        </is>
      </c>
      <c r="H23" s="26" t="inlineStr">
        <is>
          <t>Student visa holders and their family members cannot work in Australia before the student starts their course.</t>
        </is>
      </c>
      <c r="I23" s="26" t="inlineStr">
        <is>
          <t>14 September 2026 (page last updated 1 July 2026)</t>
        </is>
      </c>
      <c r="J23" s="26" t="inlineStr"/>
    </row>
    <row r="24" ht="76" customHeight="1">
      <c r="A24" s="24" t="n">
        <v>23</v>
      </c>
      <c r="B24" s="24" t="inlineStr">
        <is>
          <t>Arrival</t>
        </is>
      </c>
      <c r="C24" s="24" t="inlineStr">
        <is>
          <t>Plan the post-study step: Temporary Graduate visa (subclass 485), charge AUD 5,750 from 1 July 2026</t>
        </is>
      </c>
      <c r="D24" s="24" t="inlineStr">
        <is>
          <t>Apply after completing the degree, while still onshore and holding a student visa</t>
        </is>
      </c>
      <c r="E24" s="24" t="inlineStr">
        <is>
          <t>The subclass 485 is the standard post-study work route after an Australian degree. Its application charge rose from AUD 4,600 to AUD 5,750 on 1 July 2026, in the same round that took the student charge to AUD 2,500. Holders have unlimited work rights. The concession for Pacific Island and Timor-Leste applicants continues; Indian passport holders pay the full charge.</t>
        </is>
      </c>
      <c r="F24" s="24" t="inlineStr">
        <is>
          <t>Selling the 485 at the counselling stage as though it were automatic. It has its own age, English, qualification and time-limit criteria that must be checked in the year the student actually graduates, and the charge has now more than doubled in two years - a student budgeting in 2026 for a 2029 graduation should assume it will rise again.</t>
        </is>
      </c>
      <c r="G24" s="24" t="inlineStr">
        <is>
          <t>https://www.studyaustralia.gov.au/en/tools-and-resources/news/student-visa-application-charge-increase</t>
        </is>
      </c>
      <c r="H24" s="24" t="inlineStr">
        <is>
          <t>The Temporary Graduate Visa application charge increased from AUD $4,600 to AUD $5,750 from 1 July 2026.</t>
        </is>
      </c>
      <c r="I24" s="24" t="inlineStr">
        <is>
          <t>14 September 2026 (Study Australia news item dated 3 July 2026)</t>
        </is>
      </c>
      <c r="J24" s="24" t="inlineStr">
        <is>
          <t>passport: 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60" customWidth="1" min="1" max="1"/>
    <col width="20" customWidth="1" min="2" max="2"/>
    <col width="26" customWidth="1" min="3" max="3"/>
    <col width="44" customWidth="1" min="4" max="4"/>
    <col width="22" customWidth="1" min="5" max="5"/>
  </cols>
  <sheetData>
    <row r="1">
      <c r="A1" s="27" t="inlineStr">
        <is>
          <t>Fill the two yellow columns once per university. Both apply to every programme at that university.</t>
        </is>
      </c>
    </row>
    <row r="2" ht="30" customHeight="1">
      <c r="A2" s="16" t="inlineStr">
        <is>
          <t>University</t>
        </is>
      </c>
      <c r="B2" s="16" t="inlineStr">
        <is>
          <t>Programmes in the file</t>
        </is>
      </c>
      <c r="C2" s="16" t="inlineStr">
        <is>
          <t>Campus city</t>
        </is>
      </c>
      <c r="D2" s="16" t="inlineStr">
        <is>
          <t>Homepage</t>
        </is>
      </c>
      <c r="E2" s="16" t="inlineStr">
        <is>
          <t>Currently typed as</t>
        </is>
      </c>
    </row>
    <row r="3">
      <c r="A3" s="28" t="inlineStr">
        <is>
          <t>Example: University of Melbourne</t>
        </is>
      </c>
      <c r="B3" s="28" t="n">
        <v>6</v>
      </c>
      <c r="C3" s="28" t="inlineStr">
        <is>
          <t>Melbourne</t>
        </is>
      </c>
      <c r="D3" s="28" t="inlineStr">
        <is>
          <t>https://www.unimelb.edu.au/</t>
        </is>
      </c>
      <c r="E3" s="28" t="inlineStr">
        <is>
          <t>Go8 / Top Research</t>
        </is>
      </c>
    </row>
    <row r="4" ht="30" customHeight="1">
      <c r="A4" s="29" t="inlineStr">
        <is>
          <t>University of Melbourne</t>
        </is>
      </c>
      <c r="B4" s="29" t="n">
        <v>6</v>
      </c>
      <c r="C4" s="30" t="inlineStr"/>
      <c r="D4" s="30" t="inlineStr"/>
      <c r="E4" s="29" t="inlineStr">
        <is>
          <t>Go8 / Top Research</t>
        </is>
      </c>
    </row>
    <row r="5" ht="30" customHeight="1">
      <c r="A5" s="29" t="inlineStr">
        <is>
          <t>University of Sydney</t>
        </is>
      </c>
      <c r="B5" s="29" t="n">
        <v>6</v>
      </c>
      <c r="C5" s="30" t="inlineStr"/>
      <c r="D5" s="30" t="inlineStr"/>
      <c r="E5" s="29" t="inlineStr">
        <is>
          <t>Go8 / Top Research</t>
        </is>
      </c>
    </row>
    <row r="6" ht="30" customHeight="1">
      <c r="A6" s="29" t="inlineStr">
        <is>
          <t>UNSW Sydney</t>
        </is>
      </c>
      <c r="B6" s="29" t="n">
        <v>6</v>
      </c>
      <c r="C6" s="30" t="inlineStr"/>
      <c r="D6" s="30" t="inlineStr"/>
      <c r="E6" s="29" t="inlineStr">
        <is>
          <t>Go8 / Top Research</t>
        </is>
      </c>
    </row>
    <row r="7" ht="30" customHeight="1">
      <c r="A7" s="29" t="inlineStr">
        <is>
          <t>Australian National University (ANU)</t>
        </is>
      </c>
      <c r="B7" s="29" t="n">
        <v>6</v>
      </c>
      <c r="C7" s="30" t="inlineStr"/>
      <c r="D7" s="30" t="inlineStr"/>
      <c r="E7" s="29" t="inlineStr">
        <is>
          <t>Go8 / Top Research</t>
        </is>
      </c>
    </row>
    <row r="8" ht="30" customHeight="1">
      <c r="A8" s="29" t="inlineStr">
        <is>
          <t>Monash University</t>
        </is>
      </c>
      <c r="B8" s="29" t="n">
        <v>6</v>
      </c>
      <c r="C8" s="30" t="inlineStr"/>
      <c r="D8" s="30" t="inlineStr"/>
      <c r="E8" s="29" t="inlineStr">
        <is>
          <t>Go8 / Top Research</t>
        </is>
      </c>
    </row>
    <row r="9" ht="30" customHeight="1">
      <c r="A9" s="29" t="inlineStr">
        <is>
          <t>University of Queensland (UQ)</t>
        </is>
      </c>
      <c r="B9" s="29" t="n">
        <v>6</v>
      </c>
      <c r="C9" s="30" t="inlineStr"/>
      <c r="D9" s="30" t="inlineStr"/>
      <c r="E9" s="29" t="inlineStr">
        <is>
          <t>Go8 / Top Research</t>
        </is>
      </c>
    </row>
    <row r="10" ht="30" customHeight="1">
      <c r="A10" s="29" t="inlineStr">
        <is>
          <t>Adelaide University (merged University of Adelaide + UniSA; sheet listed University of Adelaide)</t>
        </is>
      </c>
      <c r="B10" s="29" t="n">
        <v>5</v>
      </c>
      <c r="C10" s="30" t="inlineStr"/>
      <c r="D10" s="30" t="inlineStr"/>
      <c r="E10" s="29" t="inlineStr">
        <is>
          <t>Go8 / Top Research</t>
        </is>
      </c>
    </row>
    <row r="11" ht="30" customHeight="1">
      <c r="A11" s="29" t="inlineStr">
        <is>
          <t>University of Western Australia (UWA)</t>
        </is>
      </c>
      <c r="B11" s="29" t="n">
        <v>4</v>
      </c>
      <c r="C11" s="30" t="inlineStr"/>
      <c r="D11" s="30" t="inlineStr"/>
      <c r="E11" s="29" t="inlineStr">
        <is>
          <t>Go8 / Top Research</t>
        </is>
      </c>
    </row>
    <row r="13">
      <c r="A13" s="31" t="inlineStr">
        <is>
          <t>Total programmes</t>
        </is>
      </c>
      <c r="B13" s="31">
        <f>SUM(B4:B11)</f>
        <v/>
      </c>
    </row>
    <row r="14">
      <c r="A14" s="31" t="inlineStr">
        <is>
          <t>Cities still to fill</t>
        </is>
      </c>
      <c r="B14" s="32">
        <f>COUNTBLANK(C4:C11)</f>
        <v/>
      </c>
    </row>
    <row r="15">
      <c r="A15" s="31" t="inlineStr">
        <is>
          <t>Homepages still to fill</t>
        </is>
      </c>
      <c r="B15" s="32">
        <f>COUNTBLANK(D4:D11)</f>
        <v/>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showGridLines="0" workbookViewId="0">
      <pane ySplit="2" topLeftCell="A3" activePane="bottomLeft" state="frozen"/>
      <selection pane="bottomLeft" activeCell="A1" sqref="A1"/>
    </sheetView>
  </sheetViews>
  <sheetFormatPr baseColWidth="8" defaultRowHeight="15"/>
  <cols>
    <col width="28" customWidth="1" min="1" max="1"/>
    <col width="17" customWidth="1" min="2" max="2"/>
    <col width="10" customWidth="1" min="3" max="3"/>
    <col width="14" customWidth="1" min="4" max="4"/>
    <col width="10" customWidth="1" min="5" max="5"/>
    <col width="46" customWidth="1" min="6" max="6"/>
  </cols>
  <sheetData>
    <row r="1">
      <c r="A1" s="33" t="inlineStr">
        <is>
          <t>Field</t>
        </is>
      </c>
    </row>
    <row r="2" ht="30" customHeight="1">
      <c r="A2" s="16" t="inlineStr">
        <is>
          <t>Field</t>
        </is>
      </c>
      <c r="B2" s="16" t="inlineStr">
        <is>
          <t>Filled in Australia</t>
        </is>
      </c>
      <c r="C2" s="16" t="inlineStr">
        <is>
          <t>Out of 45</t>
        </is>
      </c>
      <c r="D2" s="16" t="inlineStr">
        <is>
          <t>Germany fills</t>
        </is>
      </c>
      <c r="E2" s="16" t="inlineStr">
        <is>
          <t>Out of 80</t>
        </is>
      </c>
      <c r="F2" s="16" t="inlineStr">
        <is>
          <t>Read</t>
        </is>
      </c>
    </row>
    <row r="3">
      <c r="A3" s="34" t="inlineStr">
        <is>
          <t>record_id</t>
        </is>
      </c>
      <c r="B3" s="35">
        <f>COUNTIF(Programmes!A2:A46,"?*")</f>
        <v/>
      </c>
      <c r="C3" s="35" t="n">
        <v>45</v>
      </c>
      <c r="D3" s="35" t="n">
        <v>80</v>
      </c>
      <c r="E3" s="35" t="n">
        <v>80</v>
      </c>
      <c r="F3" s="35" t="inlineStr">
        <is>
          <t>Complete</t>
        </is>
      </c>
    </row>
    <row r="4">
      <c r="A4" s="34" t="inlineStr">
        <is>
          <t>institution</t>
        </is>
      </c>
      <c r="B4" s="35">
        <f>COUNTIF(Programmes!B2:B46,"?*")</f>
        <v/>
      </c>
      <c r="C4" s="35" t="n">
        <v>45</v>
      </c>
      <c r="D4" s="35" t="n">
        <v>80</v>
      </c>
      <c r="E4" s="35" t="n">
        <v>80</v>
      </c>
      <c r="F4" s="35" t="inlineStr">
        <is>
          <t>Complete</t>
        </is>
      </c>
    </row>
    <row r="5">
      <c r="A5" s="34" t="inlineStr">
        <is>
          <t>instType</t>
        </is>
      </c>
      <c r="B5" s="35">
        <f>COUNTIF(Programmes!G2:G46,"?*")</f>
        <v/>
      </c>
      <c r="C5" s="35" t="n">
        <v>45</v>
      </c>
      <c r="D5" s="35" t="n">
        <v>80</v>
      </c>
      <c r="E5" s="35" t="n">
        <v>80</v>
      </c>
      <c r="F5" s="35" t="inlineStr">
        <is>
          <t>Complete</t>
        </is>
      </c>
    </row>
    <row r="6">
      <c r="A6" s="34" t="inlineStr">
        <is>
          <t>city</t>
        </is>
      </c>
      <c r="B6" s="35">
        <f>COUNTIF(Programmes!C2:C46,"?*")</f>
        <v/>
      </c>
      <c r="C6" s="35" t="n">
        <v>45</v>
      </c>
      <c r="D6" s="35" t="n">
        <v>80</v>
      </c>
      <c r="E6" s="35" t="n">
        <v>80</v>
      </c>
      <c r="F6" s="35" t="inlineStr">
        <is>
          <t>Complete</t>
        </is>
      </c>
    </row>
    <row r="7">
      <c r="A7" s="34" t="inlineStr">
        <is>
          <t>instUrl</t>
        </is>
      </c>
      <c r="B7" s="36" t="n">
        <v>0</v>
      </c>
      <c r="C7" s="36" t="n">
        <v>45</v>
      </c>
      <c r="D7" s="36" t="n">
        <v>80</v>
      </c>
      <c r="E7" s="36" t="n">
        <v>80</v>
      </c>
      <c r="F7" s="36" t="inlineStr">
        <is>
          <t>Empty here, filled in Germany</t>
        </is>
      </c>
    </row>
    <row r="8">
      <c r="A8" s="34" t="inlineStr">
        <is>
          <t>programme</t>
        </is>
      </c>
      <c r="B8" s="35">
        <f>COUNTIF(Programmes!D2:D46,"?*")</f>
        <v/>
      </c>
      <c r="C8" s="35" t="n">
        <v>45</v>
      </c>
      <c r="D8" s="35" t="n">
        <v>80</v>
      </c>
      <c r="E8" s="35" t="n">
        <v>80</v>
      </c>
      <c r="F8" s="35" t="inlineStr">
        <is>
          <t>Complete</t>
        </is>
      </c>
    </row>
    <row r="9">
      <c r="A9" s="34" t="inlineStr">
        <is>
          <t>degree</t>
        </is>
      </c>
      <c r="B9" s="35">
        <f>COUNTIF(Programmes!E2:E46,"?*")</f>
        <v/>
      </c>
      <c r="C9" s="35" t="n">
        <v>45</v>
      </c>
      <c r="D9" s="35" t="n">
        <v>80</v>
      </c>
      <c r="E9" s="35" t="n">
        <v>80</v>
      </c>
      <c r="F9" s="35" t="inlineStr">
        <is>
          <t>Complete</t>
        </is>
      </c>
    </row>
    <row r="10">
      <c r="A10" s="34" t="inlineStr">
        <is>
          <t>url</t>
        </is>
      </c>
      <c r="B10" s="35">
        <f>COUNTIF(Programmes!F2:F46,"?*")</f>
        <v/>
      </c>
      <c r="C10" s="35" t="n">
        <v>45</v>
      </c>
      <c r="D10" s="35" t="n">
        <v>80</v>
      </c>
      <c r="E10" s="35" t="n">
        <v>80</v>
      </c>
      <c r="F10" s="35" t="inlineStr">
        <is>
          <t>Complete</t>
        </is>
      </c>
    </row>
    <row r="11">
      <c r="A11" s="34" t="inlineStr">
        <is>
          <t>language</t>
        </is>
      </c>
      <c r="B11" s="35">
        <f>COUNTIF(Programmes!H2:H46,"?*")</f>
        <v/>
      </c>
      <c r="C11" s="35" t="n">
        <v>45</v>
      </c>
      <c r="D11" s="35" t="n">
        <v>80</v>
      </c>
      <c r="E11" s="35" t="n">
        <v>80</v>
      </c>
      <c r="F11" s="35" t="inlineStr">
        <is>
          <t>Complete</t>
        </is>
      </c>
    </row>
    <row r="12">
      <c r="A12" s="34" t="inlineStr">
        <is>
          <t>years</t>
        </is>
      </c>
      <c r="B12" s="35">
        <f>COUNTIF(Programmes!I2:I46,"?*")</f>
        <v/>
      </c>
      <c r="C12" s="35" t="n">
        <v>45</v>
      </c>
      <c r="D12" s="35" t="n">
        <v>80</v>
      </c>
      <c r="E12" s="35" t="n">
        <v>80</v>
      </c>
      <c r="F12" s="35" t="inlineStr">
        <is>
          <t>Complete</t>
        </is>
      </c>
    </row>
    <row r="13">
      <c r="A13" s="34" t="inlineStr">
        <is>
          <t>entry</t>
        </is>
      </c>
      <c r="B13" s="37">
        <f>COUNTIF(Programmes!J2:J46,"?*")</f>
        <v/>
      </c>
      <c r="C13" s="37" t="n">
        <v>45</v>
      </c>
      <c r="D13" s="37" t="n">
        <v>80</v>
      </c>
      <c r="E13" s="37" t="n">
        <v>80</v>
      </c>
      <c r="F13" s="37" t="inlineStr">
        <is>
          <t>17 record(s) blank</t>
        </is>
      </c>
    </row>
    <row r="14">
      <c r="A14" s="34" t="inlineStr">
        <is>
          <t>ib</t>
        </is>
      </c>
      <c r="B14" s="35">
        <f>COUNTIF(Programmes!K2:K46,"?*")</f>
        <v/>
      </c>
      <c r="C14" s="35" t="n">
        <v>45</v>
      </c>
      <c r="D14" s="35" t="n">
        <v>80</v>
      </c>
      <c r="E14" s="35" t="n">
        <v>80</v>
      </c>
      <c r="F14" s="35" t="inlineStr">
        <is>
          <t>Complete</t>
        </is>
      </c>
    </row>
    <row r="15">
      <c r="A15" s="34" t="inlineStr">
        <is>
          <t>alevel</t>
        </is>
      </c>
      <c r="B15" s="35">
        <f>COUNTIF(Programmes!L2:L46,"?*")</f>
        <v/>
      </c>
      <c r="C15" s="35" t="n">
        <v>45</v>
      </c>
      <c r="D15" s="35" t="n">
        <v>80</v>
      </c>
      <c r="E15" s="35" t="n">
        <v>80</v>
      </c>
      <c r="F15" s="35" t="inlineStr">
        <is>
          <t>Complete</t>
        </is>
      </c>
    </row>
    <row r="16">
      <c r="A16" s="34" t="inlineStr">
        <is>
          <t>cbse</t>
        </is>
      </c>
      <c r="B16" s="35">
        <f>COUNTIF(Programmes!M2:M46,"?*")</f>
        <v/>
      </c>
      <c r="C16" s="35" t="n">
        <v>45</v>
      </c>
      <c r="D16" s="35" t="n">
        <v>80</v>
      </c>
      <c r="E16" s="35" t="n">
        <v>80</v>
      </c>
      <c r="F16" s="35" t="inlineStr">
        <is>
          <t>Complete</t>
        </is>
      </c>
    </row>
    <row r="17">
      <c r="A17" s="34" t="inlineStr">
        <is>
          <t>isc</t>
        </is>
      </c>
      <c r="B17" s="35">
        <f>COUNTIF(Programmes!N2:N46,"?*")</f>
        <v/>
      </c>
      <c r="C17" s="35" t="n">
        <v>45</v>
      </c>
      <c r="D17" s="35" t="n">
        <v>80</v>
      </c>
      <c r="E17" s="35" t="n">
        <v>80</v>
      </c>
      <c r="F17" s="35" t="inlineStr">
        <is>
          <t>Complete</t>
        </is>
      </c>
    </row>
    <row r="18">
      <c r="A18" s="34" t="inlineStr">
        <is>
          <t>other</t>
        </is>
      </c>
      <c r="B18" s="35">
        <f>COUNTIF(Programmes!O2:O46,"?*")</f>
        <v/>
      </c>
      <c r="C18" s="35" t="n">
        <v>45</v>
      </c>
      <c r="D18" s="35" t="n">
        <v>80</v>
      </c>
      <c r="E18" s="35" t="n">
        <v>80</v>
      </c>
      <c r="F18" s="35" t="inlineStr">
        <is>
          <t>Complete</t>
        </is>
      </c>
    </row>
    <row r="19">
      <c r="A19" s="34" t="inlineStr">
        <is>
          <t>english</t>
        </is>
      </c>
      <c r="B19" s="35">
        <f>COUNTIF(Programmes!P2:P46,"?*")</f>
        <v/>
      </c>
      <c r="C19" s="35" t="n">
        <v>45</v>
      </c>
      <c r="D19" s="35" t="n">
        <v>80</v>
      </c>
      <c r="E19" s="35" t="n">
        <v>80</v>
      </c>
      <c r="F19" s="35" t="inlineStr">
        <is>
          <t>Complete</t>
        </is>
      </c>
    </row>
    <row r="20">
      <c r="A20" s="34" t="inlineStr">
        <is>
          <t>selection</t>
        </is>
      </c>
      <c r="B20" s="35">
        <f>COUNTIF(Programmes!Q2:Q46,"?*")</f>
        <v/>
      </c>
      <c r="C20" s="35" t="n">
        <v>45</v>
      </c>
      <c r="D20" s="35" t="n">
        <v>80</v>
      </c>
      <c r="E20" s="35" t="n">
        <v>80</v>
      </c>
      <c r="F20" s="35" t="inlineStr">
        <is>
          <t>Complete</t>
        </is>
      </c>
    </row>
    <row r="21">
      <c r="A21" s="34" t="inlineStr">
        <is>
          <t>deadline</t>
        </is>
      </c>
      <c r="B21" s="35">
        <f>COUNTIF(Programmes!R2:R46,"?*")</f>
        <v/>
      </c>
      <c r="C21" s="35" t="n">
        <v>45</v>
      </c>
      <c r="D21" s="35" t="n">
        <v>79</v>
      </c>
      <c r="E21" s="35" t="n">
        <v>80</v>
      </c>
      <c r="F21" s="35" t="inlineStr">
        <is>
          <t>Complete</t>
        </is>
      </c>
    </row>
    <row r="22">
      <c r="A22" s="34" t="inlineStr">
        <is>
          <t>feeEU</t>
        </is>
      </c>
      <c r="B22" s="36" t="n">
        <v>0</v>
      </c>
      <c r="C22" s="36" t="n">
        <v>45</v>
      </c>
      <c r="D22" s="36" t="n">
        <v>78</v>
      </c>
      <c r="E22" s="36" t="n">
        <v>80</v>
      </c>
      <c r="F22" s="36" t="inlineStr">
        <is>
          <t>Empty here, filled in Germany</t>
        </is>
      </c>
    </row>
    <row r="23">
      <c r="A23" s="34" t="inlineStr">
        <is>
          <t>feeNonEU</t>
        </is>
      </c>
      <c r="B23" s="35">
        <f>COUNTIF(Programmes!S2:S46,"?*")</f>
        <v/>
      </c>
      <c r="C23" s="35" t="n">
        <v>45</v>
      </c>
      <c r="D23" s="35" t="n">
        <v>79</v>
      </c>
      <c r="E23" s="35" t="n">
        <v>80</v>
      </c>
      <c r="F23" s="35" t="inlineStr">
        <is>
          <t>Complete</t>
        </is>
      </c>
    </row>
    <row r="24">
      <c r="A24" s="34" t="inlineStr">
        <is>
          <t>liveLo</t>
        </is>
      </c>
      <c r="B24" s="36" t="n">
        <v>0</v>
      </c>
      <c r="C24" s="36" t="n">
        <v>45</v>
      </c>
      <c r="D24" s="36" t="n">
        <v>47</v>
      </c>
      <c r="E24" s="36" t="n">
        <v>80</v>
      </c>
      <c r="F24" s="36" t="inlineStr">
        <is>
          <t>Empty here, filled in Germany</t>
        </is>
      </c>
    </row>
    <row r="25">
      <c r="A25" s="34" t="inlineStr">
        <is>
          <t>liveHi</t>
        </is>
      </c>
      <c r="B25" s="36" t="n">
        <v>0</v>
      </c>
      <c r="C25" s="36" t="n">
        <v>45</v>
      </c>
      <c r="D25" s="36" t="n">
        <v>47</v>
      </c>
      <c r="E25" s="36" t="n">
        <v>80</v>
      </c>
      <c r="F25" s="36" t="inlineStr">
        <is>
          <t>Empty here, filled in Germany</t>
        </is>
      </c>
    </row>
    <row r="26">
      <c r="A26" s="34" t="inlineStr">
        <is>
          <t>scholarships</t>
        </is>
      </c>
      <c r="B26" s="35">
        <f>COUNTIF(Programmes!T2:T46,"?*")</f>
        <v/>
      </c>
      <c r="C26" s="35" t="n">
        <v>45</v>
      </c>
      <c r="D26" s="35" t="n">
        <v>80</v>
      </c>
      <c r="E26" s="35" t="n">
        <v>80</v>
      </c>
      <c r="F26" s="35" t="inlineStr">
        <is>
          <t>Complete</t>
        </is>
      </c>
    </row>
    <row r="27">
      <c r="A27" s="34" t="inlineStr">
        <is>
          <t>visa</t>
        </is>
      </c>
      <c r="B27" s="35">
        <f>COUNTIF(Programmes!U2:U46,"?*")</f>
        <v/>
      </c>
      <c r="C27" s="35" t="n">
        <v>45</v>
      </c>
      <c r="D27" s="35" t="n">
        <v>80</v>
      </c>
      <c r="E27" s="35" t="n">
        <v>80</v>
      </c>
      <c r="F27" s="35" t="inlineStr">
        <is>
          <t>Complete</t>
        </is>
      </c>
    </row>
    <row r="28">
      <c r="A28" s="34" t="inlineStr">
        <is>
          <t>apply</t>
        </is>
      </c>
      <c r="B28" s="35">
        <f>COUNTIF(Programmes!V2:V46,"?*")</f>
        <v/>
      </c>
      <c r="C28" s="35" t="n">
        <v>45</v>
      </c>
      <c r="D28" s="35" t="n">
        <v>80</v>
      </c>
      <c r="E28" s="35" t="n">
        <v>80</v>
      </c>
      <c r="F28" s="35" t="inlineStr">
        <is>
          <t>Complete</t>
        </is>
      </c>
    </row>
    <row r="29">
      <c r="A29" s="34" t="inlineStr">
        <is>
          <t>notes</t>
        </is>
      </c>
      <c r="B29" s="35">
        <f>COUNTIF(Programmes!W2:W46,"?*")</f>
        <v/>
      </c>
      <c r="C29" s="35" t="n">
        <v>45</v>
      </c>
      <c r="D29" s="35" t="n">
        <v>73</v>
      </c>
      <c r="E29" s="35" t="n">
        <v>80</v>
      </c>
      <c r="F29" s="35" t="inlineStr">
        <is>
          <t>Complete</t>
        </is>
      </c>
    </row>
    <row r="30">
      <c r="A30" s="34" t="inlineStr">
        <is>
          <t>verified_status</t>
        </is>
      </c>
      <c r="B30" s="35">
        <f>COUNTIF(Programmes!X2:X46,"?*")</f>
        <v/>
      </c>
      <c r="C30" s="35" t="n">
        <v>45</v>
      </c>
      <c r="D30" s="35" t="n">
        <v>80</v>
      </c>
      <c r="E30" s="35" t="n">
        <v>80</v>
      </c>
      <c r="F30" s="35" t="inlineStr">
        <is>
          <t>Complete</t>
        </is>
      </c>
    </row>
    <row r="31">
      <c r="A31" s="34" t="inlineStr">
        <is>
          <t>corrected_value_if_any</t>
        </is>
      </c>
      <c r="B31" s="35">
        <f>COUNTIF(Programmes!Y2:Y46,"?*")</f>
        <v/>
      </c>
      <c r="C31" s="35" t="n">
        <v>45</v>
      </c>
      <c r="D31" s="35" t="n">
        <v>5</v>
      </c>
      <c r="E31" s="35" t="n">
        <v>80</v>
      </c>
      <c r="F31" s="35" t="inlineStr">
        <is>
          <t>Complete</t>
        </is>
      </c>
    </row>
    <row r="32">
      <c r="A32" s="34" t="inlineStr">
        <is>
          <t>source_url_you_used</t>
        </is>
      </c>
      <c r="B32" s="35">
        <f>COUNTIF(Programmes!Z2:Z46,"?*")</f>
        <v/>
      </c>
      <c r="C32" s="35" t="n">
        <v>45</v>
      </c>
      <c r="D32" s="35" t="n">
        <v>80</v>
      </c>
      <c r="E32" s="35" t="n">
        <v>80</v>
      </c>
      <c r="F32" s="35" t="inlineStr">
        <is>
          <t>Complete</t>
        </is>
      </c>
    </row>
    <row r="33">
      <c r="A33" s="34" t="inlineStr">
        <is>
          <t>exact_quote</t>
        </is>
      </c>
      <c r="B33" s="35">
        <f>COUNTIF(Programmes!AA2:AA46,"?*")</f>
        <v/>
      </c>
      <c r="C33" s="35" t="n">
        <v>45</v>
      </c>
      <c r="D33" s="35" t="n">
        <v>9</v>
      </c>
      <c r="E33" s="35" t="n">
        <v>80</v>
      </c>
      <c r="F33" s="35" t="inlineStr">
        <is>
          <t>Complete</t>
        </is>
      </c>
    </row>
    <row r="34">
      <c r="A34" s="34" t="inlineStr">
        <is>
          <t>date_checked</t>
        </is>
      </c>
      <c r="B34" s="35">
        <f>COUNTIF(Programmes!AB2:AB46,"?*")</f>
        <v/>
      </c>
      <c r="C34" s="35" t="n">
        <v>45</v>
      </c>
      <c r="D34" s="35" t="n">
        <v>80</v>
      </c>
      <c r="E34" s="35" t="n">
        <v>80</v>
      </c>
      <c r="F34" s="35" t="inlineStr">
        <is>
          <t>Complete</t>
        </is>
      </c>
    </row>
    <row r="35">
      <c r="A35" s="34" t="inlineStr">
        <is>
          <t>link_works</t>
        </is>
      </c>
      <c r="B35" s="37">
        <f>COUNTIF(Programmes!AC2:AC46,"?*")</f>
        <v/>
      </c>
      <c r="C35" s="37" t="n">
        <v>45</v>
      </c>
      <c r="D35" s="37" t="n">
        <v>10</v>
      </c>
      <c r="E35" s="37" t="n">
        <v>80</v>
      </c>
      <c r="F35" s="37" t="inlineStr">
        <is>
          <t>11 record(s) blank</t>
        </is>
      </c>
    </row>
    <row r="36">
      <c r="A36" s="34" t="inlineStr">
        <is>
          <t>checked_by</t>
        </is>
      </c>
      <c r="B36" s="35">
        <f>COUNTIF(Programmes!AD2:AD46,"?*")</f>
        <v/>
      </c>
      <c r="C36" s="35" t="n">
        <v>45</v>
      </c>
      <c r="D36" s="35" t="n">
        <v>80</v>
      </c>
      <c r="E36" s="35" t="n">
        <v>80</v>
      </c>
      <c r="F36" s="35" t="inlineStr">
        <is>
          <t>Complete</t>
        </is>
      </c>
    </row>
    <row r="37">
      <c r="A37" s="34" t="inlineStr">
        <is>
          <t>contact</t>
        </is>
      </c>
      <c r="B37" s="36" t="n">
        <v>0</v>
      </c>
      <c r="C37" s="36" t="n">
        <v>45</v>
      </c>
      <c r="D37" s="36" t="n">
        <v>80</v>
      </c>
      <c r="E37" s="36" t="n">
        <v>80</v>
      </c>
      <c r="F37" s="36" t="inlineStr">
        <is>
          <t>Empty here, filled in Germany</t>
        </is>
      </c>
    </row>
    <row r="38">
      <c r="A38" s="34" t="inlineStr">
        <is>
          <t>documents_required</t>
        </is>
      </c>
      <c r="B38" s="35">
        <f>COUNTIF(Programmes!AE2:AE46,"?*")</f>
        <v/>
      </c>
      <c r="C38" s="35" t="n">
        <v>45</v>
      </c>
      <c r="D38" s="35" t="n">
        <v>79</v>
      </c>
      <c r="E38" s="35" t="n">
        <v>80</v>
      </c>
      <c r="F38" s="35" t="inlineStr">
        <is>
          <t>Complete</t>
        </is>
      </c>
    </row>
    <row r="39">
      <c r="A39" s="34" t="inlineStr">
        <is>
          <t>deadline_rounds</t>
        </is>
      </c>
      <c r="B39" s="35">
        <f>COUNTIF(Programmes!AF2:AF46,"?*")</f>
        <v/>
      </c>
      <c r="C39" s="35" t="n">
        <v>45</v>
      </c>
      <c r="D39" s="35" t="n">
        <v>75</v>
      </c>
      <c r="E39" s="35" t="n">
        <v>80</v>
      </c>
      <c r="F39" s="35" t="inlineStr">
        <is>
          <t>Complete</t>
        </is>
      </c>
    </row>
    <row r="40">
      <c r="A40" s="34" t="inlineStr">
        <is>
          <t>progression_routes</t>
        </is>
      </c>
      <c r="B40" s="34" t="n">
        <v>0</v>
      </c>
      <c r="C40" s="34" t="n">
        <v>45</v>
      </c>
      <c r="D40" s="34" t="n">
        <v>0</v>
      </c>
      <c r="E40" s="34" t="n">
        <v>80</v>
      </c>
      <c r="F40" s="34" t="inlineStr">
        <is>
          <t>Empty in both. Unused field</t>
        </is>
      </c>
    </row>
    <row r="41">
      <c r="A41" s="34" t="inlineStr">
        <is>
          <t>us_diploma_gpa</t>
        </is>
      </c>
      <c r="B41" s="36" t="n">
        <v>0</v>
      </c>
      <c r="C41" s="36" t="n">
        <v>45</v>
      </c>
      <c r="D41" s="36" t="n">
        <v>60</v>
      </c>
      <c r="E41" s="36" t="n">
        <v>80</v>
      </c>
      <c r="F41" s="36" t="inlineStr">
        <is>
          <t>Empty here, filled in Germany</t>
        </is>
      </c>
    </row>
    <row r="42">
      <c r="A42" s="34" t="inlineStr">
        <is>
          <t>accreditation</t>
        </is>
      </c>
      <c r="B42" s="36" t="n">
        <v>0</v>
      </c>
      <c r="C42" s="36" t="n">
        <v>45</v>
      </c>
      <c r="D42" s="36" t="n">
        <v>78</v>
      </c>
      <c r="E42" s="36" t="n">
        <v>80</v>
      </c>
      <c r="F42" s="36" t="inlineStr">
        <is>
          <t>Empty here, filled in Germany</t>
        </is>
      </c>
    </row>
    <row r="43">
      <c r="A43" s="34" t="inlineStr">
        <is>
          <t>fee_year</t>
        </is>
      </c>
      <c r="B43" s="35">
        <f>COUNTIF(Programmes!AG2:AG46,"?*")</f>
        <v/>
      </c>
      <c r="C43" s="35" t="n">
        <v>45</v>
      </c>
      <c r="D43" s="35" t="n">
        <v>0</v>
      </c>
      <c r="E43" s="35" t="n">
        <v>80</v>
      </c>
      <c r="F43" s="35" t="inlineStr">
        <is>
          <t>Complete</t>
        </is>
      </c>
    </row>
    <row r="44">
      <c r="A44" s="34" t="inlineStr">
        <is>
          <t>application_fee</t>
        </is>
      </c>
      <c r="B44" s="35">
        <f>COUNTIF(Programmes!AH2:AH46,"?*")</f>
        <v/>
      </c>
      <c r="C44" s="35" t="n">
        <v>45</v>
      </c>
      <c r="D44" s="35" t="n">
        <v>78</v>
      </c>
      <c r="E44" s="35" t="n">
        <v>80</v>
      </c>
      <c r="F44" s="35" t="inlineStr">
        <is>
          <t>Complete</t>
        </is>
      </c>
    </row>
    <row r="45">
      <c r="A45" s="34" t="inlineStr">
        <is>
          <t>deadline_iso</t>
        </is>
      </c>
      <c r="B45" s="37">
        <f>COUNTIF(Programmes!AI2:AI46,"?*")</f>
        <v/>
      </c>
      <c r="C45" s="37" t="n">
        <v>45</v>
      </c>
      <c r="D45" s="37" t="n">
        <v>33</v>
      </c>
      <c r="E45" s="37" t="n">
        <v>80</v>
      </c>
      <c r="F45" s="37" t="inlineStr">
        <is>
          <t>22 record(s) blank</t>
        </is>
      </c>
    </row>
    <row r="46">
      <c r="A46" s="34" t="inlineStr">
        <is>
          <t>india_entry</t>
        </is>
      </c>
      <c r="B46" s="35">
        <f>COUNTIF(Programmes!AJ2:AJ46,"?*")</f>
        <v/>
      </c>
      <c r="C46" s="35" t="n">
        <v>45</v>
      </c>
      <c r="D46" s="35" t="n">
        <v>71</v>
      </c>
      <c r="E46" s="35" t="n">
        <v>80</v>
      </c>
      <c r="F46" s="35"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2026-09-20T09:33:46Z</dcterms:created>
  <dcterms:modified xmlns:dcterms="http://purl.org/dc/terms/" xmlns:xsi="http://www.w3.org/2001/XMLSchema-instance" xsi:type="dcterms:W3CDTF">2026-09-20T09:33:46Z</dcterms:modified>
</cp:coreProperties>
</file>